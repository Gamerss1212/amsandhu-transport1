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Keep" sheetId="3" state="visible" r:id="rId5"/>
    <sheet name="New (to build)" sheetId="4" state="visible" r:id="rId6"/>
    <sheet name="Do not build" sheetId="5" state="visible" r:id="rId7"/>
    <sheet name="Cut" sheetId="6" state="visible" r:id="rId8"/>
    <sheet name="Day-trade rules" sheetId="7" state="visible" r:id="rId9"/>
    <sheet name="Cost in R" sheetId="8" state="visible" r:id="rId10"/>
    <sheet name="Measured (BTC)" sheetId="9" state="visible" r:id="rId11"/>
  </sheets>
  <definedNames>
    <definedName function="false" hidden="true" localSheetId="5" name="_xlnm._FilterDatabase" vbProcedure="false">Cut!$A$1:$E$57</definedName>
    <definedName function="false" hidden="true" localSheetId="6" name="_xlnm._FilterDatabase" vbProcedure="false">'Day-trade rules'!$A$1:$E$8</definedName>
    <definedName function="false" hidden="true" localSheetId="4" name="_xlnm._FilterDatabase" vbProcedure="false">'Do not build'!$A$1:$B$8</definedName>
    <definedName function="false" hidden="true" localSheetId="2" name="_xlnm._FilterDatabase" vbProcedure="false">Keep!$A$1:$O$101</definedName>
    <definedName function="false" hidden="true" localSheetId="3" name="_xlnm._FilterDatabase" vbProcedure="false">'New (to build)'!$A$1:$H$10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<sst xmlns="http://schemas.openxmlformats.org/spreadsheetml/2006/main" count="2133" uniqueCount="578">
  <si>
    <t xml:space="preserve">JARVUS 2 - STRATEGIES (version 5)</t>
  </si>
  <si>
    <t xml:space="preserve">What this is: ONLY the strategy library. Markets: US stocks, crypto and meme coins (no ETFs, forex, futures or options). The bots are in JARVUS_3_BOTS.xlsx and the boss prompt is JARVUS_1_MASTER_PROMPT.md.</t>
  </si>
  <si>
    <t xml:space="preserve">How to read the grades:</t>
  </si>
  <si>
    <t xml:space="preserve">- Catalog grade = what the original list said (A peer-reviewed, B working paper, C book/industry, D trader idea).</t>
  </si>
  <si>
    <t xml:space="preserve">- Jarvus grade = my rating for THIS exact use (this bar size, this market, after costs). NOTHING here has proof of profit after costs, so no strategy is above B.</t>
  </si>
  <si>
    <t xml:space="preserve">- Check the Caveat column: several ideas are daily-bar ideas stretched to hourly bars, and the opening-range idea lost its edge after costs in an outside replication.</t>
  </si>
  <si>
    <t xml:space="preserve">What was cleaned:</t>
  </si>
  <si>
    <t xml:space="preserve">- KEPT: ideas that run on the data we have, trade US stocks or crypto, have a hard stop, and can finish inside the day.</t>
  </si>
  <si>
    <t xml:space="preserve">- DROPPED: all "flip" exits (206 variants), because they have no hard stop.</t>
  </si>
  <si>
    <t xml:space="preserve">- CUT: ideas that need missing data, forex/futures-only ideas, overnight/daily ideas, and weak copies of stronger ideas.</t>
  </si>
  <si>
    <t xml:space="preserve">- TRIMMED: Tier 2 tries only 2 filters per idea. Every extra variant tried makes the Deflated Sharpe check harder. Rule of thumb from the research: about 45 trials is the most you should try on 5 years of daily data, and fewer on less data.</t>
  </si>
  <si>
    <t xml:space="preserve">- ADDED: 4 VWAP variants (research cards ST023, ST024). NOT built yet.</t>
  </si>
  <si>
    <t xml:space="preserve">- STARTER column = the variants assigned to bots right now. Test those first, ignore the rest until they are scored.</t>
  </si>
  <si>
    <t xml:space="preserve">- DAY-TRADE FIX: the default "time" exit is 20 bars. On 1-hour stock bars that is about 3 days. See sheet Day-trade rules.</t>
  </si>
  <si>
    <t xml:space="preserve">Important:</t>
  </si>
  <si>
    <t xml:space="preserve">- The export you gave me stops at 1,000 of 1,502 rows. It shows 80 of 106 base ideas. The other ~26 were not judged.</t>
  </si>
  <si>
    <t xml:space="preserve">- Keeping a strategy does NOT make it profitable. All 100 original bots failed the quality gate on 2026-10-14.</t>
  </si>
  <si>
    <t xml:space="preserve">- Paper trading only. Real money stays OFF.</t>
  </si>
  <si>
    <t xml:space="preserve">Sheets: Summary, Keep, New (to build), Do not build, Cut, Day-trade rules, Cost in R, Measured (BTC).</t>
  </si>
  <si>
    <t xml:space="preserve">What changed in v5 (from your own Jarvus BTC study, Sept 2026 - I did not re-run it):</t>
  </si>
  <si>
    <t xml:space="preserve">- COST RULE unified everywhere: cost in R = round-trip cost / stop distance. Up to 20% of 1R = fine. 20-33% = half size, paper only. Over 33% = WAIT. (v4 had 5% in this file and 20% in the prompt - fixed.)</t>
  </si>
  <si>
    <t xml:space="preserve">- CRYPTO STOPS WIDER: at NDAX/Kraken fees a 1-2 ATR stop costs 0.3-0.75R per trade. Crypto needs 3-4 ATR stops (smaller size). See new column P (Keep) and sheet Cost in R.</t>
  </si>
  <si>
    <t xml:space="preserve">- Your test: 0 of 72 configurations were profitable at retail taker fees. The best structure was a swing trade (4 ATR stop, 2R target, 96 hours, long only, volatility gate): +0.125R per trade, 224 trades in 7.7 years. Added as a hypothesis to New (to build).</t>
  </si>
  <si>
    <t xml:space="preserve">- Dropped: VWAP 2-sigma fade on BTC (30 fires in 7.7 years, negative) and hour-of-day entries (claimed Sharpe 1.58, measured 0.09). Both are on 'Do not build'.</t>
  </si>
  <si>
    <t xml:space="preserve">- No weekend entries for crypto majors (measured direction AUC 0.498 on 16,224 weekend bars = no edge).</t>
  </si>
  <si>
    <t xml:space="preserve">- Sheet Measured (BTC) holds the numbers. They are BTC-only, hourly, 2019-2026. They do NOT prove anything for stocks or for other coins.</t>
  </si>
  <si>
    <t xml:space="preserve">Summary</t>
  </si>
  <si>
    <t xml:space="preserve">Kept variants - Tier 1 CORE</t>
  </si>
  <si>
    <t xml:space="preserve">Kept variants - Tier 2 TEST</t>
  </si>
  <si>
    <t xml:space="preserve">Kept variants - total</t>
  </si>
  <si>
    <t xml:space="preserve">Starter variants (assigned to bots now)</t>
  </si>
  <si>
    <t xml:space="preserve">New strategies to build</t>
  </si>
  <si>
    <t xml:space="preserve">Ideas cut (base ideas)</t>
  </si>
  <si>
    <t xml:space="preserve">Cut - needs missing data</t>
  </si>
  <si>
    <t xml:space="preserve">Cut - forex/futures only</t>
  </si>
  <si>
    <t xml:space="preserve">Cut - overnight/daily</t>
  </si>
  <si>
    <t xml:space="preserve">Cut - weak copies (grade D)</t>
  </si>
  <si>
    <t xml:space="preserve">Cut - needs a 2nd market feed</t>
  </si>
  <si>
    <t xml:space="preserve">Variants graded A by Jarvus</t>
  </si>
  <si>
    <t xml:space="preserve">Variants graded B by Jarvus</t>
  </si>
  <si>
    <t xml:space="preserve">Variants graded C by Jarvus</t>
  </si>
  <si>
    <t xml:space="preserve">Variants graded D by Jarvus</t>
  </si>
  <si>
    <t xml:space="preserve">Ideas on the 'Do not build' list</t>
  </si>
  <si>
    <t xml:space="preserve">Counts are live formulas on the other sheets.</t>
  </si>
  <si>
    <t xml:space="preserve">Tier</t>
  </si>
  <si>
    <t xml:space="preserve">Starter</t>
  </si>
  <si>
    <t xml:space="preserve">ID</t>
  </si>
  <si>
    <t xml:space="preserve">Job</t>
  </si>
  <si>
    <t xml:space="preserve">Jarvus grade</t>
  </si>
  <si>
    <t xml:space="preserve">Catalog grade</t>
  </si>
  <si>
    <t xml:space="preserve">Evidence applies to</t>
  </si>
  <si>
    <t xml:space="preserve">Caveat</t>
  </si>
  <si>
    <t xml:space="preserve">Risk</t>
  </si>
  <si>
    <t xml:space="preserve">Bars</t>
  </si>
  <si>
    <t xml:space="preserve">Markets</t>
  </si>
  <si>
    <t xml:space="preserve">Entry</t>
  </si>
  <si>
    <t xml:space="preserve">Exit</t>
  </si>
  <si>
    <t xml:space="preserve">Stop</t>
  </si>
  <si>
    <t xml:space="preserve">Settings</t>
  </si>
  <si>
    <t xml:space="preserve">v5 crypto override</t>
  </si>
  <si>
    <t xml:space="preserve">Your BTC test (2019-2026)</t>
  </si>
  <si>
    <t xml:space="preserve">1 CORE</t>
  </si>
  <si>
    <t xml:space="preserve">Yes</t>
  </si>
  <si>
    <t xml:space="preserve">active_orb.relvol.atr_bracket</t>
  </si>
  <si>
    <t xml:space="preserve">Stocks: opening-range breakout, only on busy days</t>
  </si>
  <si>
    <t xml:space="preserve">C</t>
  </si>
  <si>
    <t xml:space="preserve">B</t>
  </si>
  <si>
    <t xml:space="preserve">Single stocks "in play" ranked by relative volume, 5-min bars (Zarattini, Barbon, Aziz)</t>
  </si>
  <si>
    <t xml:space="preserve">Our version is a one-stock adaptation, not the paper's ranked universe. A replication on 5 index CFDs matched the gross result but net of costs it was about zero (costs were 6-12% of risk).</t>
  </si>
  <si>
    <t xml:space="preserve">medium (hard stop)</t>
  </si>
  <si>
    <t xml:space="preserve">5m, 15m</t>
  </si>
  <si>
    <t xml:space="preserve">stock, etf</t>
  </si>
  <si>
    <t xml:space="preserve">active_orb signal turns non-zero and the 'relvol' filter allows it; orders go in at the NEXT bar's open (never the signal bar's close)</t>
  </si>
  <si>
    <t xml:space="preserve">stop 2 ATR, target 2R (4 ATR), whichever comes first; signal flip also exits</t>
  </si>
  <si>
    <t xml:space="preserve">stop at 2 ATR from entry</t>
  </si>
  <si>
    <t xml:space="preserve">bars=2, rv=1.5, n=14, stop_atr=2.0, target_r=2.0</t>
  </si>
  <si>
    <t xml:space="preserve">Stocks only: no change (stop 2 ATR).</t>
  </si>
  <si>
    <t xml:space="preserve">n/a (stocks)</t>
  </si>
  <si>
    <t xml:space="preserve">active_orb.relvol.time</t>
  </si>
  <si>
    <t xml:space="preserve">exit after 20 bars, or on a 2-ATR stop</t>
  </si>
  <si>
    <t xml:space="preserve">bars=2, rv=1.5, n=14, max_bars=20, stop_atr=2.0</t>
  </si>
  <si>
    <t xml:space="preserve">connors_rsi_rev.vol_band.time</t>
  </si>
  <si>
    <t xml:space="preserve">Buy extreme short dips (3-part score)</t>
  </si>
  <si>
    <t xml:space="preserve">Daily bars (Connors Research, industry)</t>
  </si>
  <si>
    <t xml:space="preserve">Same as rsi2: daily-bar idea, hourly use unproven.</t>
  </si>
  <si>
    <t xml:space="preserve">5m, 15m, 30m, 1h, 4h, 1d</t>
  </si>
  <si>
    <t xml:space="preserve">crypto, stock, etf, fx, future</t>
  </si>
  <si>
    <t xml:space="preserve">connors_rsi_rev signal turns non-zero and the 'vol_band' filter allows it; orders go in at the NEXT bar's open (never the signal bar's close)</t>
  </si>
  <si>
    <t xml:space="preserve">lo=10, max_bars=20, stop_atr=2.0</t>
  </si>
  <si>
    <t xml:space="preserve">Crypto: stop 3-4 ATR (not 2), 0.6x size when volatility is LOUD, skip when QUIET, no Sat/Sun entries, skip if cost &gt; 20% of 1R (20-33% = half size).</t>
  </si>
  <si>
    <t xml:space="preserve">Not tested in your BTC study.</t>
  </si>
  <si>
    <t xml:space="preserve">donchian_trend.adx.trail</t>
  </si>
  <si>
    <t xml:space="preserve">Ride a break of the recent high with a trailing stop</t>
  </si>
  <si>
    <t xml:space="preserve">Futures, daily bars (Turtle rules)</t>
  </si>
  <si>
    <t xml:space="preserve">Multi-day trend following. Intraday use is unproven. Best fit here is crypto.</t>
  </si>
  <si>
    <t xml:space="preserve">donchian_trend signal turns non-zero and the 'adx' filter allows it; orders go in at the NEXT bar's open (never the signal bar's close)</t>
  </si>
  <si>
    <t xml:space="preserve">3-ATR trailing stop; signal flip also exits</t>
  </si>
  <si>
    <t xml:space="preserve">3-ATR trailing stop</t>
  </si>
  <si>
    <t xml:space="preserve">entry=55, exit=20, trail_atr=3.0</t>
  </si>
  <si>
    <t xml:space="preserve">first_hour_momentum.session.time</t>
  </si>
  <si>
    <t xml:space="preserve">Stocks: first-30-min move predicts the last 30 min</t>
  </si>
  <si>
    <t xml:space="preserve">A</t>
  </si>
  <si>
    <t xml:space="preserve">SPY (index ETF), 30-min bars, 1999-2012 (Gao, Han, Li, Zhou, JFE)</t>
  </si>
  <si>
    <t xml:space="preserve">Effect is real but small (about 2% of the variance). Stronger on volatile days. Weaker on QQQ. Reviews say costs likely wipe it out for most traders. Our single-stock use is an extension.</t>
  </si>
  <si>
    <t xml:space="preserve">first_hour_momentum signal turns non-zero and the 'session' filter allows it; orders go in at the NEXT bar's open (never the signal bar's close)</t>
  </si>
  <si>
    <t xml:space="preserve">max_bars=20, stop_atr=2.0</t>
  </si>
  <si>
    <t xml:space="preserve">ibs_reversion.trend200.time</t>
  </si>
  <si>
    <t xml:space="preserve">Buy weak closes (price near bar low) that bounce back</t>
  </si>
  <si>
    <t xml:space="preserve">ETFs, daily bars (Pagonidis 2013 working paper)</t>
  </si>
  <si>
    <t xml:space="preserve">Evidence is for daily bars held a few days. Hourly bars with a same-day exit is an unproven extension.</t>
  </si>
  <si>
    <t xml:space="preserve">ibs_reversion signal turns non-zero and the 'trend200' filter allows it; orders go in at the NEXT bar's open (never the signal bar's close)</t>
  </si>
  <si>
    <t xml:space="preserve">lo=0.2, max_bars=20, stop_atr=2.0</t>
  </si>
  <si>
    <t xml:space="preserve">noise_band_momentum.none.time</t>
  </si>
  <si>
    <t xml:space="preserve">Stocks/ETFs: trade when price leaves its normal daily range</t>
  </si>
  <si>
    <t xml:space="preserve">SPY intraday (Zarattini, Aziz, Barbon, author tutorial)</t>
  </si>
  <si>
    <t xml:space="preserve">Our version is an adaptation, not the authors' method.</t>
  </si>
  <si>
    <t xml:space="preserve">15m, 30m</t>
  </si>
  <si>
    <t xml:space="preserve">noise_band_momentum signal turns non-zero and the 'none' filter allows it; orders go in at the NEXT bar's open (never the signal bar's close)</t>
  </si>
  <si>
    <t xml:space="preserve">n=14, m=1.0, max_bars=20, stop_atr=2.0</t>
  </si>
  <si>
    <t xml:space="preserve">nr7_breakout.adx.atr_bracket</t>
  </si>
  <si>
    <t xml:space="preserve">Quiet bar (narrowest of 7) then breakout</t>
  </si>
  <si>
    <t xml:space="preserve">Futures, daily bars (Crabel book)</t>
  </si>
  <si>
    <t xml:space="preserve">Daily-bar idea. Intraday use is unproven.</t>
  </si>
  <si>
    <t xml:space="preserve">nr7_breakout signal turns non-zero and the 'adx' filter allows it; orders go in at the NEXT bar's open (never the signal bar's close)</t>
  </si>
  <si>
    <t xml:space="preserve">n=7, stop_atr=2.0, target_r=2.0</t>
  </si>
  <si>
    <t xml:space="preserve">nr7_breakout.relvol.atr_bracket</t>
  </si>
  <si>
    <t xml:space="preserve">nr7_breakout signal turns non-zero and the 'relvol' filter allows it; orders go in at the NEXT bar's open (never the signal bar's close)</t>
  </si>
  <si>
    <t xml:space="preserve">orb.relvol.atr_bracket</t>
  </si>
  <si>
    <t xml:space="preserve">Stocks: classic opening-range breakout</t>
  </si>
  <si>
    <t xml:space="preserve">Futures and stocks, 5-min bars (Crabel 1990; Zarattini &amp; Aziz 2023 working paper)</t>
  </si>
  <si>
    <t xml:space="preserve">Replication on index CFDs: gross reproduced, net about zero after spread and slippage. Costs decide this one.</t>
  </si>
  <si>
    <t xml:space="preserve">stock, etf, future, fx</t>
  </si>
  <si>
    <t xml:space="preserve">orb signal turns non-zero and the 'relvol' filter allows it; orders go in at the NEXT bar's open (never the signal bar's close)</t>
  </si>
  <si>
    <t xml:space="preserve">bars=3, stop_atr=2.0, target_r=2.0</t>
  </si>
  <si>
    <t xml:space="preserve">rsi2_reversion.trend200.time</t>
  </si>
  <si>
    <t xml:space="preserve">Buy sharp short dips inside an uptrend</t>
  </si>
  <si>
    <t xml:space="preserve">US stocks/ETFs, daily bars (Connors &amp; Alvarez book)</t>
  </si>
  <si>
    <t xml:space="preserve">Book results on daily bars. Hourly + same-day exit is unproven. No solid source found on how well it works today.</t>
  </si>
  <si>
    <t xml:space="preserve">rsi2_reversion signal turns non-zero and the 'trend200' filter allows it; orders go in at the NEXT bar's open (never the signal bar's close)</t>
  </si>
  <si>
    <t xml:space="preserve">lo=10, exit=70, max_bars=20, stop_atr=2.0</t>
  </si>
  <si>
    <t xml:space="preserve">RSI-2 on BTC hourly: 1 ATR stop / 24h = +0.076R before costs, -0.406R after 30bp. 4 ATR stop / 96h = +0.113R before costs, -0.003R after. A real but tiny edge that fees eat. Compare with 'take every bar' (+0.085R / -0.026R).</t>
  </si>
  <si>
    <t xml:space="preserve">vol_breakout.adx.atr_bracket</t>
  </si>
  <si>
    <t xml:space="preserve">Breakout when volatility expands</t>
  </si>
  <si>
    <t xml:space="preserve">Futures, daily bars (Larry Williams, industry)</t>
  </si>
  <si>
    <t xml:space="preserve">Daily-bar idea. Intraday use is unproven. Old bots using it averaged test Sharpe -4.2 (tiny samples).</t>
  </si>
  <si>
    <t xml:space="preserve">vol_breakout signal turns non-zero and the 'adx' filter allows it; orders go in at the NEXT bar's open (never the signal bar's close)</t>
  </si>
  <si>
    <t xml:space="preserve">k=0.6, stop_atr=2.0, target_r=2.0</t>
  </si>
  <si>
    <t xml:space="preserve">active_orb.adx.atr_bracket</t>
  </si>
  <si>
    <t xml:space="preserve">active_orb signal turns non-zero and the 'adx' filter allows it; orders go in at the NEXT bar's open (never the signal bar's close)</t>
  </si>
  <si>
    <t xml:space="preserve">active_orb.adx.time</t>
  </si>
  <si>
    <t xml:space="preserve">active_orb.none.atr_bracket</t>
  </si>
  <si>
    <t xml:space="preserve">active_orb signal turns non-zero and the 'none' filter allows it; orders go in at the NEXT bar's open (never the signal bar's close)</t>
  </si>
  <si>
    <t xml:space="preserve">active_orb.none.time</t>
  </si>
  <si>
    <t xml:space="preserve">connors_rsi_rev.none.atr_bracket</t>
  </si>
  <si>
    <t xml:space="preserve">connors_rsi_rev signal turns non-zero and the 'none' filter allows it; orders go in at the NEXT bar's open (never the signal bar's close)</t>
  </si>
  <si>
    <t xml:space="preserve">lo=10, stop_atr=2.0, target_r=2.0</t>
  </si>
  <si>
    <t xml:space="preserve">connors_rsi_rev.none.time</t>
  </si>
  <si>
    <t xml:space="preserve">connors_rsi_rev.trend200.atr_bracket</t>
  </si>
  <si>
    <t xml:space="preserve">connors_rsi_rev signal turns non-zero and the 'trend200' filter allows it; orders go in at the NEXT bar's open (never the signal bar's close)</t>
  </si>
  <si>
    <t xml:space="preserve">connors_rsi_rev.trend200.time</t>
  </si>
  <si>
    <t xml:space="preserve">connors_rsi_rev.vol_band.atr_bracket</t>
  </si>
  <si>
    <t xml:space="preserve">donchian_trend.none.trail</t>
  </si>
  <si>
    <t xml:space="preserve">donchian_trend signal turns non-zero and the 'none' filter allows it; orders go in at the NEXT bar's open (never the signal bar's close)</t>
  </si>
  <si>
    <t xml:space="preserve">donchian_trend.trend200.trail</t>
  </si>
  <si>
    <t xml:space="preserve">donchian_trend signal turns non-zero and the 'trend200' filter allows it; orders go in at the NEXT bar's open (never the signal bar's close)</t>
  </si>
  <si>
    <t xml:space="preserve">first_hour_momentum.adx.time</t>
  </si>
  <si>
    <t xml:space="preserve">first_hour_momentum signal turns non-zero and the 'adx' filter allows it; orders go in at the NEXT bar's open (never the signal bar's close)</t>
  </si>
  <si>
    <t xml:space="preserve">first_hour_momentum.none.time</t>
  </si>
  <si>
    <t xml:space="preserve">first_hour_momentum signal turns non-zero and the 'none' filter allows it; orders go in at the NEXT bar's open (never the signal bar's close)</t>
  </si>
  <si>
    <t xml:space="preserve">ibs_reversion.none.time</t>
  </si>
  <si>
    <t xml:space="preserve">ibs_reversion signal turns non-zero and the 'none' filter allows it; orders go in at the NEXT bar's open (never the signal bar's close)</t>
  </si>
  <si>
    <t xml:space="preserve">ibs_reversion.vol_band.time</t>
  </si>
  <si>
    <t xml:space="preserve">ibs_reversion signal turns non-zero and the 'vol_band' filter allows it; orders go in at the NEXT bar's open (never the signal bar's close)</t>
  </si>
  <si>
    <t xml:space="preserve">noise_band_momentum.adx.time</t>
  </si>
  <si>
    <t xml:space="preserve">noise_band_momentum signal turns non-zero and the 'adx' filter allows it; orders go in at the NEXT bar's open (never the signal bar's close)</t>
  </si>
  <si>
    <t xml:space="preserve">noise_band_momentum.session.time</t>
  </si>
  <si>
    <t xml:space="preserve">noise_band_momentum signal turns non-zero and the 'session' filter allows it; orders go in at the NEXT bar's open (never the signal bar's close)</t>
  </si>
  <si>
    <t xml:space="preserve">nr7_breakout.adx.time</t>
  </si>
  <si>
    <t xml:space="preserve">n=7, max_bars=20, stop_atr=2.0</t>
  </si>
  <si>
    <t xml:space="preserve">nr7_breakout.none.atr_bracket</t>
  </si>
  <si>
    <t xml:space="preserve">nr7_breakout signal turns non-zero and the 'none' filter allows it; orders go in at the NEXT bar's open (never the signal bar's close)</t>
  </si>
  <si>
    <t xml:space="preserve">nr7_breakout.none.time</t>
  </si>
  <si>
    <t xml:space="preserve">nr7_breakout.relvol.time</t>
  </si>
  <si>
    <t xml:space="preserve">orb.none.atr_bracket</t>
  </si>
  <si>
    <t xml:space="preserve">orb signal turns non-zero and the 'none' filter allows it; orders go in at the NEXT bar's open (never the signal bar's close)</t>
  </si>
  <si>
    <t xml:space="preserve">orb.none.time</t>
  </si>
  <si>
    <t xml:space="preserve">bars=3, max_bars=20, stop_atr=2.0</t>
  </si>
  <si>
    <t xml:space="preserve">orb.relvol.time</t>
  </si>
  <si>
    <t xml:space="preserve">orb.session.atr_bracket</t>
  </si>
  <si>
    <t xml:space="preserve">orb signal turns non-zero and the 'session' filter allows it; orders go in at the NEXT bar's open (never the signal bar's close)</t>
  </si>
  <si>
    <t xml:space="preserve">orb.session.time</t>
  </si>
  <si>
    <t xml:space="preserve">rsi2_reversion.none.atr_bracket</t>
  </si>
  <si>
    <t xml:space="preserve">rsi2_reversion signal turns non-zero and the 'none' filter allows it; orders go in at the NEXT bar's open (never the signal bar's close)</t>
  </si>
  <si>
    <t xml:space="preserve">lo=10, exit=70, stop_atr=2.0, target_r=2.0</t>
  </si>
  <si>
    <t xml:space="preserve">rsi2_reversion.none.time</t>
  </si>
  <si>
    <t xml:space="preserve">rsi2_reversion.trend200.atr_bracket</t>
  </si>
  <si>
    <t xml:space="preserve">rsi2_reversion.vol_band.atr_bracket</t>
  </si>
  <si>
    <t xml:space="preserve">rsi2_reversion signal turns non-zero and the 'vol_band' filter allows it; orders go in at the NEXT bar's open (never the signal bar's close)</t>
  </si>
  <si>
    <t xml:space="preserve">rsi2_reversion.vol_band.time</t>
  </si>
  <si>
    <t xml:space="preserve">vol_breakout.adx.time</t>
  </si>
  <si>
    <t xml:space="preserve">k=0.6, max_bars=20, stop_atr=2.0</t>
  </si>
  <si>
    <t xml:space="preserve">vol_breakout.none.atr_bracket</t>
  </si>
  <si>
    <t xml:space="preserve">vol_breakout signal turns non-zero and the 'none' filter allows it; orders go in at the NEXT bar's open (never the signal bar's close)</t>
  </si>
  <si>
    <t xml:space="preserve">vol_breakout.none.time</t>
  </si>
  <si>
    <t xml:space="preserve">vol_breakout.trend200.atr_bracket</t>
  </si>
  <si>
    <t xml:space="preserve">vol_breakout signal turns non-zero and the 'trend200' filter allows it; orders go in at the NEXT bar's open (never the signal bar's close)</t>
  </si>
  <si>
    <t xml:space="preserve">vol_breakout.trend200.time</t>
  </si>
  <si>
    <t xml:space="preserve">2 TEST</t>
  </si>
  <si>
    <t xml:space="preserve">bollinger_reversion.vol_band.atr_bracket</t>
  </si>
  <si>
    <t xml:space="preserve">Fade a move outside Bollinger bands</t>
  </si>
  <si>
    <t xml:space="preserve">D</t>
  </si>
  <si>
    <t xml:space="preserve">No independent test (trader idea)</t>
  </si>
  <si>
    <t xml:space="preserve">Needs independent testing before any trust.</t>
  </si>
  <si>
    <t xml:space="preserve">bollinger_reversion signal turns non-zero and the 'vol_band' filter allows it; orders go in at the NEXT bar's open (never the signal bar's close)</t>
  </si>
  <si>
    <t xml:space="preserve">n=20, k=2.0, stop_atr=2.0, target_r=2.0</t>
  </si>
  <si>
    <t xml:space="preserve">initial_balance_breakout.relvol.atr_bracket</t>
  </si>
  <si>
    <t xml:space="preserve">Stocks: break of the first-hour high/low</t>
  </si>
  <si>
    <t xml:space="preserve">stock, etf, future</t>
  </si>
  <si>
    <t xml:space="preserve">initial_balance_breakout signal turns non-zero and the 'relvol' filter allows it; orders go in at the NEXT bar's open (never the signal bar's close)</t>
  </si>
  <si>
    <t xml:space="preserve">stop_atr=2.0, target_r=2.0</t>
  </si>
  <si>
    <t xml:space="preserve">squeeze_breakout.adx.trail</t>
  </si>
  <si>
    <t xml:space="preserve">Breakout after a volatility squeeze</t>
  </si>
  <si>
    <t xml:space="preserve">squeeze_breakout signal turns non-zero and the 'adx' filter allows it; orders go in at the NEXT bar's open (never the signal bar's close)</t>
  </si>
  <si>
    <t xml:space="preserve">p=10, trail_atr=3.0</t>
  </si>
  <si>
    <t xml:space="preserve">zscore_reversion.none.atr_bracket</t>
  </si>
  <si>
    <t xml:space="preserve">Buy when price is far below its average (only family with watch-list bots)</t>
  </si>
  <si>
    <t xml:space="preserve">zscore_reversion signal turns non-zero and the 'none' filter allows it; orders go in at the NEXT bar's open (never the signal bar's close)</t>
  </si>
  <si>
    <t xml:space="preserve">n=50, z=2.0, stop_atr=2.0, target_r=2.0</t>
  </si>
  <si>
    <t xml:space="preserve">bollinger_reversion.none.atr_bracket</t>
  </si>
  <si>
    <t xml:space="preserve">bollinger_reversion signal turns non-zero and the 'none' filter allows it; orders go in at the NEXT bar's open (never the signal bar's close)</t>
  </si>
  <si>
    <t xml:space="preserve">bollinger_reversion.none.time</t>
  </si>
  <si>
    <t xml:space="preserve">n=20, k=2.0, max_bars=20, stop_atr=2.0</t>
  </si>
  <si>
    <t xml:space="preserve">bollinger_reversion.vol_band.time</t>
  </si>
  <si>
    <t xml:space="preserve">crypto_weekend.none.time</t>
  </si>
  <si>
    <t xml:space="preserve">Crypto: weekend pattern (1h/4h only)</t>
  </si>
  <si>
    <t xml:space="preserve">1h, 4h</t>
  </si>
  <si>
    <t xml:space="preserve">crypto</t>
  </si>
  <si>
    <t xml:space="preserve">crypto_weekend signal turns non-zero and the 'none' filter allows it; orders go in at the NEXT bar's open (never the signal bar's close)</t>
  </si>
  <si>
    <t xml:space="preserve">failed_breakout.none.atr_bracket</t>
  </si>
  <si>
    <t xml:space="preserve">Fade a breakout that fails and snaps back</t>
  </si>
  <si>
    <t xml:space="preserve">failed_breakout signal turns non-zero and the 'none' filter allows it; orders go in at the NEXT bar's open (never the signal bar's close)</t>
  </si>
  <si>
    <t xml:space="preserve">n=20, m=3, stop_atr=2.0, target_r=2.0</t>
  </si>
  <si>
    <t xml:space="preserve">failed_breakout.none.time</t>
  </si>
  <si>
    <t xml:space="preserve">n=20, m=3, max_bars=20, stop_atr=2.0</t>
  </si>
  <si>
    <t xml:space="preserve">failed_breakout.vol_band.atr_bracket</t>
  </si>
  <si>
    <t xml:space="preserve">failed_breakout signal turns non-zero and the 'vol_band' filter allows it; orders go in at the NEXT bar's open (never the signal bar's close)</t>
  </si>
  <si>
    <t xml:space="preserve">failed_breakout.vol_band.time</t>
  </si>
  <si>
    <t xml:space="preserve">gap_continuation.none.atr_bracket</t>
  </si>
  <si>
    <t xml:space="preserve">Follow an opening gap that holds</t>
  </si>
  <si>
    <t xml:space="preserve">1m, 5m, 15m, 30m, 1h</t>
  </si>
  <si>
    <t xml:space="preserve">gap_continuation signal turns non-zero and the 'none' filter allows it; orders go in at the NEXT bar's open (never the signal bar's close)</t>
  </si>
  <si>
    <t xml:space="preserve">g=0.005, stop_atr=2.0, target_r=2.0</t>
  </si>
  <si>
    <t xml:space="preserve">gap_continuation.none.time</t>
  </si>
  <si>
    <t xml:space="preserve">g=0.005, max_bars=20, stop_atr=2.0</t>
  </si>
  <si>
    <t xml:space="preserve">gap_continuation.relvol.atr_bracket</t>
  </si>
  <si>
    <t xml:space="preserve">gap_continuation signal turns non-zero and the 'relvol' filter allows it; orders go in at the NEXT bar's open (never the signal bar's close)</t>
  </si>
  <si>
    <t xml:space="preserve">gap_continuation.relvol.time</t>
  </si>
  <si>
    <t xml:space="preserve">gap_fade.none.atr_bracket</t>
  </si>
  <si>
    <t xml:space="preserve">Fade an opening gap that is too big</t>
  </si>
  <si>
    <t xml:space="preserve">gap_fade signal turns non-zero and the 'none' filter allows it; orders go in at the NEXT bar's open (never the signal bar's close)</t>
  </si>
  <si>
    <t xml:space="preserve">g=0.004, stop_atr=2.0, target_r=2.0</t>
  </si>
  <si>
    <t xml:space="preserve">gap_fade.none.time</t>
  </si>
  <si>
    <t xml:space="preserve">g=0.004, max_bars=20, stop_atr=2.0</t>
  </si>
  <si>
    <t xml:space="preserve">gap_fade.vol_band.atr_bracket</t>
  </si>
  <si>
    <t xml:space="preserve">gap_fade signal turns non-zero and the 'vol_band' filter allows it; orders go in at the NEXT bar's open (never the signal bar's close)</t>
  </si>
  <si>
    <t xml:space="preserve">gap_fade.vol_band.time</t>
  </si>
  <si>
    <t xml:space="preserve">initial_balance_breakout.none.atr_bracket</t>
  </si>
  <si>
    <t xml:space="preserve">initial_balance_breakout signal turns non-zero and the 'none' filter allows it; orders go in at the NEXT bar's open (never the signal bar's close)</t>
  </si>
  <si>
    <t xml:space="preserve">initial_balance_breakout.none.time</t>
  </si>
  <si>
    <t xml:space="preserve">initial_balance_breakout.relvol.time</t>
  </si>
  <si>
    <t xml:space="preserve">keltner_reversion.none.atr_bracket</t>
  </si>
  <si>
    <t xml:space="preserve">Fade a move outside Keltner bands</t>
  </si>
  <si>
    <t xml:space="preserve">keltner_reversion signal turns non-zero and the 'none' filter allows it; orders go in at the NEXT bar's open (never the signal bar's close)</t>
  </si>
  <si>
    <t xml:space="preserve">n=20, m=2.0, stop_atr=2.0, target_r=2.0</t>
  </si>
  <si>
    <t xml:space="preserve">keltner_reversion.none.time</t>
  </si>
  <si>
    <t xml:space="preserve">n=20, m=2.0, max_bars=20, stop_atr=2.0</t>
  </si>
  <si>
    <t xml:space="preserve">keltner_reversion.vol_band.atr_bracket</t>
  </si>
  <si>
    <t xml:space="preserve">keltner_reversion signal turns non-zero and the 'vol_band' filter allows it; orders go in at the NEXT bar's open (never the signal bar's close)</t>
  </si>
  <si>
    <t xml:space="preserve">keltner_reversion.vol_band.time</t>
  </si>
  <si>
    <t xml:space="preserve">pairs_zscore.none.time</t>
  </si>
  <si>
    <t xml:space="preserve">Two linked stocks drift apart then converge (needs a pair)</t>
  </si>
  <si>
    <t xml:space="preserve">US stocks, daily bars, 1962-2002 (Gatev, Goetzmann, Rouwenhorst)</t>
  </si>
  <si>
    <t xml:space="preserve">Needs 2 linked stocks. Daily-bar result, not intraday.</t>
  </si>
  <si>
    <t xml:space="preserve">pairs_zscore signal turns non-zero and the 'none' filter allows it; orders go in at the NEXT bar's open (never the signal bar's close)</t>
  </si>
  <si>
    <t xml:space="preserve">n=100, z=2.0, max_bars=20, stop_atr=2.0</t>
  </si>
  <si>
    <t xml:space="preserve">prior_session_breakout.adx.atr_bracket</t>
  </si>
  <si>
    <t xml:space="preserve">Break of yesterday high/low</t>
  </si>
  <si>
    <t xml:space="preserve">prior_session_breakout signal turns non-zero and the 'adx' filter allows it; orders go in at the NEXT bar's open (never the signal bar's close)</t>
  </si>
  <si>
    <t xml:space="preserve">prior_session_breakout.adx.time</t>
  </si>
  <si>
    <t xml:space="preserve">prior_session_breakout.none.atr_bracket</t>
  </si>
  <si>
    <t xml:space="preserve">prior_session_breakout signal turns non-zero and the 'none' filter allows it; orders go in at the NEXT bar's open (never the signal bar's close)</t>
  </si>
  <si>
    <t xml:space="preserve">prior_session_breakout.none.time</t>
  </si>
  <si>
    <t xml:space="preserve">squeeze_breakout.adx.atr_bracket</t>
  </si>
  <si>
    <t xml:space="preserve">p=10, stop_atr=2.0, target_r=2.0</t>
  </si>
  <si>
    <t xml:space="preserve">squeeze_breakout.none.atr_bracket</t>
  </si>
  <si>
    <t xml:space="preserve">squeeze_breakout signal turns non-zero and the 'none' filter allows it; orders go in at the NEXT bar's open (never the signal bar's close)</t>
  </si>
  <si>
    <t xml:space="preserve">squeeze_breakout.none.trail</t>
  </si>
  <si>
    <t xml:space="preserve">sweep_reclaim.none.atr_bracket</t>
  </si>
  <si>
    <t xml:space="preserve">Stop-run below a low then reclaim</t>
  </si>
  <si>
    <t xml:space="preserve">sweep_reclaim signal turns non-zero and the 'none' filter allows it; orders go in at the NEXT bar's open (never the signal bar's close)</t>
  </si>
  <si>
    <t xml:space="preserve">n=20, x=0.1, hold=10, stop_atr=2.0, target_r=2.0</t>
  </si>
  <si>
    <t xml:space="preserve">sweep_reclaim.none.time</t>
  </si>
  <si>
    <t xml:space="preserve">n=20, x=0.1, hold=10, max_bars=20, stop_atr=2.0</t>
  </si>
  <si>
    <t xml:space="preserve">sweep_reclaim.vol_band.atr_bracket</t>
  </si>
  <si>
    <t xml:space="preserve">sweep_reclaim signal turns non-zero and the 'vol_band' filter allows it; orders go in at the NEXT bar's open (never the signal bar's close)</t>
  </si>
  <si>
    <t xml:space="preserve">sweep_reclaim.vol_band.time</t>
  </si>
  <si>
    <t xml:space="preserve">variance_ratio_switch.none.atr_bracket</t>
  </si>
  <si>
    <t xml:space="preserve">Regime switch: trending vs mean-reverting (grade A evidence)</t>
  </si>
  <si>
    <t xml:space="preserve">The variance-ratio TEST is peer-reviewed (Lo &amp; MacKinlay 1988)</t>
  </si>
  <si>
    <t xml:space="preserve">The catalog's grade A is for the test only. The trading rule built on it is a hypothesis, so it is graded D here.</t>
  </si>
  <si>
    <t xml:space="preserve">variance_ratio_switch signal turns non-zero and the 'none' filter allows it; orders go in at the NEXT bar's open (never the signal bar's close)</t>
  </si>
  <si>
    <t xml:space="preserve">variance_ratio_switch.none.time</t>
  </si>
  <si>
    <t xml:space="preserve">variance_ratio_switch.vol_band.atr_bracket</t>
  </si>
  <si>
    <t xml:space="preserve">variance_ratio_switch signal turns non-zero and the 'vol_band' filter allows it; orders go in at the NEXT bar's open (never the signal bar's close)</t>
  </si>
  <si>
    <t xml:space="preserve">variance_ratio_switch.vol_band.time</t>
  </si>
  <si>
    <t xml:space="preserve">volume_breakout.none.atr_bracket</t>
  </si>
  <si>
    <t xml:space="preserve">Breakout on a volume surge</t>
  </si>
  <si>
    <t xml:space="preserve">crypto, stock, etf, future</t>
  </si>
  <si>
    <t xml:space="preserve">volume_breakout signal turns non-zero and the 'none' filter allows it; orders go in at the NEXT bar's open (never the signal bar's close)</t>
  </si>
  <si>
    <t xml:space="preserve">rv=2.0, stop_atr=2.0, target_r=2.0</t>
  </si>
  <si>
    <t xml:space="preserve">volume_breakout.none.time</t>
  </si>
  <si>
    <t xml:space="preserve">rv=2.0, max_bars=20, stop_atr=2.0</t>
  </si>
  <si>
    <t xml:space="preserve">volume_breakout.relvol.atr_bracket</t>
  </si>
  <si>
    <t xml:space="preserve">volume_breakout signal turns non-zero and the 'relvol' filter allows it; orders go in at the NEXT bar's open (never the signal bar's close)</t>
  </si>
  <si>
    <t xml:space="preserve">volume_breakout.relvol.time</t>
  </si>
  <si>
    <t xml:space="preserve">zscore_reversion.none.time</t>
  </si>
  <si>
    <t xml:space="preserve">n=50, z=2.0, max_bars=20, stop_atr=2.0</t>
  </si>
  <si>
    <t xml:space="preserve">zscore_reversion.trend200.atr_bracket</t>
  </si>
  <si>
    <t xml:space="preserve">zscore_reversion signal turns non-zero and the 'trend200' filter allows it; orders go in at the NEXT bar's open (never the signal bar's close)</t>
  </si>
  <si>
    <t xml:space="preserve">zscore_reversion.trend200.time</t>
  </si>
  <si>
    <t xml:space="preserve">zscore_reversion.vol_band.atr_bracket</t>
  </si>
  <si>
    <t xml:space="preserve">zscore_reversion signal turns non-zero and the 'vol_band' filter allows it; orders go in at the NEXT bar's open (never the signal bar's close)</t>
  </si>
  <si>
    <t xml:space="preserve">zscore_reversion.vol_band.time</t>
  </si>
  <si>
    <t xml:space="preserve">Family</t>
  </si>
  <si>
    <t xml:space="preserve">Evidence</t>
  </si>
  <si>
    <t xml:space="preserve">Research card</t>
  </si>
  <si>
    <t xml:space="preserve">Plain rules (to build)</t>
  </si>
  <si>
    <t xml:space="preserve">Status</t>
  </si>
  <si>
    <t xml:space="preserve">vwap_reversion.vol_band.time</t>
  </si>
  <si>
    <t xml:space="preserve">mean_reversion</t>
  </si>
  <si>
    <t xml:space="preserve">Fade a stretch away from VWAP (day average price) back to it</t>
  </si>
  <si>
    <t xml:space="preserve">H</t>
  </si>
  <si>
    <t xml:space="preserve">ST024</t>
  </si>
  <si>
    <t xml:space="preserve">Buy when price is far below VWAP and the day is calm; sell back at VWAP. Exit after 20 bars or 2-ATR stop.</t>
  </si>
  <si>
    <t xml:space="preserve">NEW - not built yet. Build, then test like every other strategy. Never trade untested.</t>
  </si>
  <si>
    <t xml:space="preserve">vwap_reversion.none.atr_bracket</t>
  </si>
  <si>
    <t xml:space="preserve">Same, plain version (control)</t>
  </si>
  <si>
    <t xml:space="preserve">Same entry; stop 2 ATR, target 2R.</t>
  </si>
  <si>
    <t xml:space="preserve">vwap_trend_pullback.adx.atr_bracket</t>
  </si>
  <si>
    <t xml:space="preserve">trend</t>
  </si>
  <si>
    <t xml:space="preserve">Buy a dip to VWAP inside a strong up-trend</t>
  </si>
  <si>
    <t xml:space="preserve">ST023</t>
  </si>
  <si>
    <t xml:space="preserve">Trend is up (ADX strong), price pulls back to VWAP and turns up. Stop 2 ATR, target 2R.</t>
  </si>
  <si>
    <t xml:space="preserve">vwap_trend_pullback.trend200.trail</t>
  </si>
  <si>
    <t xml:space="preserve">Same, with a trailing stop</t>
  </si>
  <si>
    <t xml:space="preserve">Same entry; 3-ATR trailing stop, flat before close.</t>
  </si>
  <si>
    <t xml:space="preserve">orb.stocks_in_play.eod_or_atr_stop</t>
  </si>
  <si>
    <t xml:space="preserve">breakout</t>
  </si>
  <si>
    <t xml:space="preserve">Stocks: 5-15 min opening-range breakout, only the top ~20 stocks by opening relative volume (&gt;=100% RVOL, ATR above ~1% of price)</t>
  </si>
  <si>
    <t xml:space="preserve">ST122</t>
  </si>
  <si>
    <t xml:space="preserve">Rank stocks at 9:35 ET by opening volume vs the 14-day norm. Keep the top 20 with a catalyst. Long if the first candle closed up. Stop at the other side of the range or a fraction of ATR. Exit by the close. Needs minute data and a universe of thousands of stocks, so it runs as ONE pooled strategy, not one bot per stock. Paper: Sharpe 2.81; independent QuantConnect rebuild 2.40. Authors sell trading education, so treat as an upper bound.</t>
  </si>
  <si>
    <t xml:space="preserve">1m-5m</t>
  </si>
  <si>
    <t xml:space="preserve">vol_gate.overlay</t>
  </si>
  <si>
    <t xml:space="preserve">overlay</t>
  </si>
  <si>
    <t xml:space="preserve">Volatility gate for everything: trade only when the next 12-24h is forecast LOUD or NORMAL, stand down when QUIET</t>
  </si>
  <si>
    <t xml:space="preserve">own BTC study</t>
  </si>
  <si>
    <t xml:space="preserve">Forecast volatility (not direction). Your own 67,585-bar BTC test: volatility AUC 0.72-0.75, direction AUC 0.513. In that test the gate cut max drawdown from -20.0% to -11.7%. Use LOUD = wider stop, 0.6x size.</t>
  </si>
  <si>
    <t xml:space="preserve">1h</t>
  </si>
  <si>
    <t xml:space="preserve">btc_led_alt_trend.trend_confirm.trail</t>
  </si>
  <si>
    <t xml:space="preserve">Crypto alts: only go long an alt while BTC trend filter is ON</t>
  </si>
  <si>
    <t xml:space="preserve">practitioner</t>
  </si>
  <si>
    <t xml:space="preserve">Alts behave like leveraged BTC. Skip alt longs when BTC is below its trend line.</t>
  </si>
  <si>
    <t xml:space="preserve">1h-4h</t>
  </si>
  <si>
    <t xml:space="preserve">attention_momentum.liquidity_gate.time_stop</t>
  </si>
  <si>
    <t xml:space="preserve">momentum</t>
  </si>
  <si>
    <t xml:space="preserve">CEX-listed meme coins: tiny fixed-risk entry on a volume/attention spike while BTC trend is ON; hard 24-72h time stop</t>
  </si>
  <si>
    <t xml:space="preserve">no robust evidence</t>
  </si>
  <si>
    <t xml:space="preserve">Unproven. Assume it fails until the gate says otherwise. Meme sleeve only, max 5% of paper capital.</t>
  </si>
  <si>
    <t xml:space="preserve">vol_gate_swing.btc.long_only</t>
  </si>
  <si>
    <t xml:space="preserve">swing (not a day trade)</t>
  </si>
  <si>
    <t xml:space="preserve">BTC then ETH, SOL: long only, only when the volatility gate reads LOUD or NORMAL, wide stop, 96-hour limit</t>
  </si>
  <si>
    <t xml:space="preserve">Long only. Skip QUIET. Stop 4 ATR, target 2R, time limit 96 hours. Limit orders where possible. No Sat/Sun entries. Your measured result: 224 trades in 7.7 years, 48.7% hit, +0.125R per trade, profit factor 1.27, max drawdown -11.7%. Caveats: one asset; it was the best of 72 configurations tried, so it is probably flattered; 19 of the 21 positive configs needed maker-tier fees; it is a swing trade, so it breaks the 'flat in 12 hours' rule. Test it as a hypothesis through the full gate. Also test 12h and 24h hold limits to see if a day-trade version survives.</t>
  </si>
  <si>
    <t xml:space="preserve">crypto_session_orb.vol_gate.wide_stop</t>
  </si>
  <si>
    <t xml:space="preserve">BTC/ETH/SOL: opening-range breakout at the US stock open (7:30 am MT), volatility-gated, wide stop</t>
  </si>
  <si>
    <t xml:space="preserve">Opening range = first 15 min after 7:30 am MT. Long if a 5m bar closes above the range with RVOL over 1.5 and the 1h trend agrees. Stop 4 ATR (not the other side of the range, unless that is far enough away to pass the cost rule). Target 2R. Skip if the range is over 1.5 ATR or tier-1 news is due. Your measured result: 590 trades, 42.7% hit, +0.130R before costs, +0.015R after 30bp - about break-even. At a 1 ATR stop it lost money (-0.039R before costs).</t>
  </si>
  <si>
    <t xml:space="preserve">5m, 1h</t>
  </si>
  <si>
    <t xml:space="preserve">maker_limit_entry.overlay</t>
  </si>
  <si>
    <t xml:space="preserve">execution overlay</t>
  </si>
  <si>
    <t xml:space="preserve">Use limit (maker) orders instead of market orders wherever the setup allows waiting</t>
  </si>
  <si>
    <t xml:space="preserve">Not a signal. An execution rule. At Kraken Pro a taker round trip is 0.52% and a maker round trip 0.32%; at NDAX the fee is flat 0.20% each way, so there is no maker saving there. Model fills honestly: a limit order can miss the trade, and the missed trades are often the winners. Test with a fill-probability model, not 100% fills.</t>
  </si>
  <si>
    <t xml:space="preserve">any</t>
  </si>
  <si>
    <t xml:space="preserve">Idea</t>
  </si>
  <si>
    <t xml:space="preserve">Why not</t>
  </si>
  <si>
    <t xml:space="preserve">Martingale / averaging down</t>
  </si>
  <si>
    <t xml:space="preserve">One long trend wipes the account.</t>
  </si>
  <si>
    <t xml:space="preserve">Grid bots without a stop</t>
  </si>
  <si>
    <t xml:space="preserve">Profit in ranges, then hold the full bag in a breakdown. Worst on meme coins.</t>
  </si>
  <si>
    <t xml:space="preserve">Indicator-only crossover bots (RSI/MACD alone)</t>
  </si>
  <si>
    <t xml:space="preserve">Your own 72-configuration study and 0/100 gate result: they do not survive costs.</t>
  </si>
  <si>
    <t xml:space="preserve">High-leverage scalping / perpetual futures</t>
  </si>
  <si>
    <t xml:space="preserve">Barred for Canadian retail; tiny R means fees dominate.</t>
  </si>
  <si>
    <t xml:space="preserve">Copy-trading, signal groups, AI "agent" tokens</t>
  </si>
  <si>
    <t xml:space="preserve">No verifiable track record. Malware was sold disguised as crypto trading bots.</t>
  </si>
  <si>
    <t xml:space="preserve">New on-chain meme launches (pump.fun style)</t>
  </si>
  <si>
    <t xml:space="preserve">Research found most such tokens show rug-pull traits within an hour; 98.6% of pump.fun tokens collapsed (Solidus Labs 2025).</t>
  </si>
  <si>
    <t xml:space="preserve">Short signals and flip exits</t>
  </si>
  <si>
    <t xml:space="preserve">Long only, hard stop on every trade.</t>
  </si>
  <si>
    <t xml:space="preserve">Tight-stop crypto scalping/day trading at retail spot fees (1-2 ATR stops)</t>
  </si>
  <si>
    <t xml:space="preserve">Your study: cost is 0.48-0.75R per trade at Kraken/NDAX fees. 0 of 72 configurations made money at taker fees.</t>
  </si>
  <si>
    <t xml:space="preserve">VWAP 2-sigma fade on BTC</t>
  </si>
  <si>
    <t xml:space="preserve">Your study: only 30 fires in 7.7 years and negative expectancy (-0.06R before costs). (The VWAP reclaim and the other VWAP variants stay in 'New'.)</t>
  </si>
  <si>
    <t xml:space="preserve">Hour-of-day entry rules (for example 'long BTC at 22:00 UTC')</t>
  </si>
  <si>
    <t xml:space="preserve">A published claim of 33%/year (Sharpe 1.58) measured +1.6%/year, Sharpe 0.09, before fees on 2019-2026, and negative after every fee tier. With 24 hours tested, you need t of about 2.9 to beat chance.</t>
  </si>
  <si>
    <t xml:space="preserve">New crypto-major entries on Saturday/Sunday</t>
  </si>
  <si>
    <t xml:space="preserve">Your study: weekend direction AUC 0.498 on 16,224 bars = no edge. Rule, not preference.</t>
  </si>
  <si>
    <t xml:space="preserve">Trusting a quoted win rate without its exit rule</t>
  </si>
  <si>
    <t xml:space="preserve">Quotes like 'RSI-2 wins 72-74%' or 'ORB 52-58%' assume a different exit than a fixed 2R target. At a fixed-R exit both sit near 43-45%.</t>
  </si>
  <si>
    <t xml:space="preserve">Generator</t>
  </si>
  <si>
    <t xml:space="preserve">Variants in export</t>
  </si>
  <si>
    <t xml:space="preserve">Reason</t>
  </si>
  <si>
    <t xml:space="preserve">adx_di</t>
  </si>
  <si>
    <t xml:space="preserve">CUT - copy of a stronger idea, no evidence (grade D)</t>
  </si>
  <si>
    <t xml:space="preserve">ao_zero</t>
  </si>
  <si>
    <t xml:space="preserve">aroon_trend</t>
  </si>
  <si>
    <t xml:space="preserve">atr_channel_breakout</t>
  </si>
  <si>
    <t xml:space="preserve">autocorr_follow</t>
  </si>
  <si>
    <t xml:space="preserve">statistical</t>
  </si>
  <si>
    <t xml:space="preserve">cci_reversion</t>
  </si>
  <si>
    <t xml:space="preserve">cmo_momentum</t>
  </si>
  <si>
    <t xml:space="preserve">consolidation_breakout</t>
  </si>
  <si>
    <t xml:space="preserve">coppock_turn</t>
  </si>
  <si>
    <t xml:space="preserve">donchian_breakout</t>
  </si>
  <si>
    <t xml:space="preserve">elder_impulse</t>
  </si>
  <si>
    <t xml:space="preserve">ema_cross</t>
  </si>
  <si>
    <t xml:space="preserve">extreme_fade</t>
  </si>
  <si>
    <t xml:space="preserve">fisher_turn</t>
  </si>
  <si>
    <t xml:space="preserve">hma_trend</t>
  </si>
  <si>
    <t xml:space="preserve">hurst_switch</t>
  </si>
  <si>
    <t xml:space="preserve">ichimoku_cloud</t>
  </si>
  <si>
    <t xml:space="preserve">inside_bar_breakout</t>
  </si>
  <si>
    <t xml:space="preserve">kst_cross</t>
  </si>
  <si>
    <t xml:space="preserve">macd_accel</t>
  </si>
  <si>
    <t xml:space="preserve">mfi_reversion</t>
  </si>
  <si>
    <t xml:space="preserve">percentile_reversion</t>
  </si>
  <si>
    <t xml:space="preserve">ratio_momentum</t>
  </si>
  <si>
    <t xml:space="preserve">stat_arb</t>
  </si>
  <si>
    <t xml:space="preserve">roc_threshold</t>
  </si>
  <si>
    <t xml:space="preserve">rsi_momentum</t>
  </si>
  <si>
    <t xml:space="preserve">skew_reversal</t>
  </si>
  <si>
    <t xml:space="preserve">stoch_momentum</t>
  </si>
  <si>
    <t xml:space="preserve">stoch_reversion</t>
  </si>
  <si>
    <t xml:space="preserve">tsi_cross</t>
  </si>
  <si>
    <t xml:space="preserve">vol_adjusted_reversion</t>
  </si>
  <si>
    <t xml:space="preserve">volume_momentum</t>
  </si>
  <si>
    <t xml:space="preserve">willr_reversion</t>
  </si>
  <si>
    <t xml:space="preserve">asian_range_breakout</t>
  </si>
  <si>
    <t xml:space="preserve">forex</t>
  </si>
  <si>
    <t xml:space="preserve">CUT - forex/futures only, cannot trade US stocks or crypto</t>
  </si>
  <si>
    <t xml:space="preserve">london_open_momentum</t>
  </si>
  <si>
    <t xml:space="preserve">ny_overlap_continuation</t>
  </si>
  <si>
    <t xml:space="preserve">overnight_range_breakout</t>
  </si>
  <si>
    <t xml:space="preserve">day_of_week</t>
  </si>
  <si>
    <t xml:space="preserve">seasonality</t>
  </si>
  <si>
    <t xml:space="preserve">CUT - holds overnight or trades daily bars, not day trading</t>
  </si>
  <si>
    <t xml:space="preserve">overnight_drift</t>
  </si>
  <si>
    <t xml:space="preserve">turn_of_month</t>
  </si>
  <si>
    <t xml:space="preserve">cross_venue_spread</t>
  </si>
  <si>
    <t xml:space="preserve">CUT - needs 2 exchange feeds; tiny edge eaten by fees</t>
  </si>
  <si>
    <t xml:space="preserve">lead_lag</t>
  </si>
  <si>
    <t xml:space="preserve">cross_market</t>
  </si>
  <si>
    <t xml:space="preserve">CUT - needs a 2nd market feed; no evidence</t>
  </si>
  <si>
    <t xml:space="preserve">breadth_thrust</t>
  </si>
  <si>
    <t xml:space="preserve">breadth</t>
  </si>
  <si>
    <t xml:space="preserve">CUT - needs data we do not have (breadth)</t>
  </si>
  <si>
    <t xml:space="preserve">calendar_spread</t>
  </si>
  <si>
    <t xml:space="preserve">futures</t>
  </si>
  <si>
    <t xml:space="preserve">CUT - needs data we do not have (contract_data)</t>
  </si>
  <si>
    <t xml:space="preserve">cash_futures_basis</t>
  </si>
  <si>
    <t xml:space="preserve">earnings_drift</t>
  </si>
  <si>
    <t xml:space="preserve">event</t>
  </si>
  <si>
    <t xml:space="preserve">CUT - needs data we do not have (earnings)</t>
  </si>
  <si>
    <t xml:space="preserve">news_breakout</t>
  </si>
  <si>
    <t xml:space="preserve">CUT - needs data we do not have (economic_calendar)</t>
  </si>
  <si>
    <t xml:space="preserve">funding_momentum</t>
  </si>
  <si>
    <t xml:space="preserve">CUT - needs data we do not have (funding)</t>
  </si>
  <si>
    <t xml:space="preserve">funding_reversion</t>
  </si>
  <si>
    <t xml:space="preserve">liquidation_reversal</t>
  </si>
  <si>
    <t xml:space="preserve">CUT - needs data we do not have (liquidations)</t>
  </si>
  <si>
    <t xml:space="preserve">basis_convergence</t>
  </si>
  <si>
    <t xml:space="preserve">CUT - needs data we do not have (mark_price, index_price)</t>
  </si>
  <si>
    <t xml:space="preserve">oi_breakout</t>
  </si>
  <si>
    <t xml:space="preserve">CUT - needs data we do not have (open_interest)</t>
  </si>
  <si>
    <t xml:space="preserve">oi_price_divergence</t>
  </si>
  <si>
    <t xml:space="preserve">orderbook_imbalance</t>
  </si>
  <si>
    <t xml:space="preserve">microstructure</t>
  </si>
  <si>
    <t xml:space="preserve">CUT - needs data we do not have (order_book)</t>
  </si>
  <si>
    <t xml:space="preserve">carry_filter</t>
  </si>
  <si>
    <t xml:space="preserve">CUT - needs data we do not have (rates)</t>
  </si>
  <si>
    <t xml:space="preserve">cumulative_delta_divergence</t>
  </si>
  <si>
    <t xml:space="preserve">CUT - needs data we do not have (trades)</t>
  </si>
  <si>
    <t xml:space="preserve">absorption</t>
  </si>
  <si>
    <t xml:space="preserve">CUT - needs data we do not have (trades, order_book)</t>
  </si>
  <si>
    <t xml:space="preserve">Market</t>
  </si>
  <si>
    <t xml:space="preserve">Bar size</t>
  </si>
  <si>
    <t xml:space="preserve">Must be flat</t>
  </si>
  <si>
    <t xml:space="preserve">Max bars per trade</t>
  </si>
  <si>
    <t xml:space="preserve">Notes</t>
  </si>
  <si>
    <t xml:space="preserve">US stocks</t>
  </si>
  <si>
    <t xml:space="preserve">5m / 15m</t>
  </si>
  <si>
    <t xml:space="preserve">Flat by 3:55 pm ET (1:55 pm MT)</t>
  </si>
  <si>
    <t xml:space="preserve">20 bars</t>
  </si>
  <si>
    <t xml:space="preserve">New entries 9:35 am-3:30 pm ET (7:35 am-1:30 pm MT). Exception: first_hour_momentum enters at 3:30 pm ET. Use an exchange calendar: early-close days end at 1 pm ET.</t>
  </si>
  <si>
    <t xml:space="preserve">5 bars</t>
  </si>
  <si>
    <t xml:space="preserve">The default 20-bar exit would hold about 3 days. Override it. Enter by 2:30 pm ET.</t>
  </si>
  <si>
    <t xml:space="preserve">Crypto</t>
  </si>
  <si>
    <t xml:space="preserve">12 hours after entry</t>
  </si>
  <si>
    <t xml:space="preserve">12 bars</t>
  </si>
  <si>
    <t xml:space="preserve">Long only. Max 2 crypto trades open at once (coins move together). v5: stop 3-4 ATR, no Sat/Sun entries, skip QUIET. NOTE: the structure that worked in your BTC study held trades up to 96 hours. A 12-hour version at wide stops is UNTESTED, so test it before trusting it.</t>
  </si>
  <si>
    <t xml:space="preserve">Stocks</t>
  </si>
  <si>
    <t xml:space="preserve">Hard stop 2 ATR on every trade</t>
  </si>
  <si>
    <t xml:space="preserve">-</t>
  </si>
  <si>
    <t xml:space="preserve">No flip exits. Never widen a stop. Never add to a loser. Stocks: 2 ATR stop is fine because stock costs are small compared with the stop.</t>
  </si>
  <si>
    <t xml:space="preserve">All</t>
  </si>
  <si>
    <t xml:space="preserve">Long only</t>
  </si>
  <si>
    <t xml:space="preserve">Short signals are ignored (WAIT). Train and gate bots long-only so the test matches what is traded.</t>
  </si>
  <si>
    <t xml:space="preserve">Signal on bar close, trade on the NEXT bar</t>
  </si>
  <si>
    <t xml:space="preserve">Never fill at the same bar that made the signal. Same-bar fills are a common way backtests lie.</t>
  </si>
  <si>
    <t xml:space="preserve">Costs on, and a cost check</t>
  </si>
  <si>
    <t xml:space="preserve">Charge spread + fees + slippage on every test trade. Cost in R = round-trip cost / stop distance. Up to 20% of 1R = fine. 20-33% = half size, paper only. Over 33% = WAIT. Also profit at 2x costs.</t>
  </si>
  <si>
    <t xml:space="preserve">Swing option: up to 96 hours</t>
  </si>
  <si>
    <t xml:space="preserve">96 bars</t>
  </si>
  <si>
    <t xml:space="preserve">Paper-test only as a separate 'swing' mode (strategy vol_gate_swing.btc.long_only). It is not a day trade, and it must pass the same gate.</t>
  </si>
  <si>
    <t xml:space="preserve">Hard stop 3-4 ATR on every trade</t>
  </si>
  <si>
    <t xml:space="preserve">Never 1-2 ATR at NDAX/Kraken fees (cost 0.3-0.75R). Smaller size instead of a tighter stop.</t>
  </si>
  <si>
    <t xml:space="preserve">No new entries Sat/Sun</t>
  </si>
  <si>
    <t xml:space="preserve">Measured no-edge on weekends (BTC). Applies to majors; apply to the rest until tested.</t>
  </si>
  <si>
    <t xml:space="preserve">Cost in R = round-trip cost % / stop %. Change the yellow cells. Green = 0.20R or less (fine). Amber = 0.20-0.33R (half size). Red = over 0.33R (WAIT).</t>
  </si>
  <si>
    <t xml:space="preserve">Typical hourly ATR % of price</t>
  </si>
  <si>
    <t xml:space="preserve">BTC (median in your study)</t>
  </si>
  <si>
    <t xml:space="preserve">% of price</t>
  </si>
  <si>
    <t xml:space="preserve">US large-cap stock (ASSUMPTION - replace with real)</t>
  </si>
  <si>
    <t xml:space="preserve">Venue (round-trip cost, % of trade)</t>
  </si>
  <si>
    <t xml:space="preserve">Cost %</t>
  </si>
  <si>
    <t xml:space="preserve">1 ATR stop</t>
  </si>
  <si>
    <t xml:space="preserve">1.5 ATR stop</t>
  </si>
  <si>
    <t xml:space="preserve">2 ATR stop</t>
  </si>
  <si>
    <t xml:space="preserve">3 ATR stop</t>
  </si>
  <si>
    <t xml:space="preserve">4 ATR stop</t>
  </si>
  <si>
    <t xml:space="preserve">Smallest stop (in ATR) that keeps cost at 20% of 1R</t>
  </si>
  <si>
    <t xml:space="preserve">Crypto: Kraken Pro taker (0.26% each way)</t>
  </si>
  <si>
    <t xml:space="preserve">Crypto: NDAX (flat 0.20% each way)</t>
  </si>
  <si>
    <t xml:space="preserve">Crypto: Kraken Pro maker (0.16% each way)</t>
  </si>
  <si>
    <t xml:space="preserve">Crypto: ~10 bp maker tier (best case)</t>
  </si>
  <si>
    <t xml:space="preserve">US stock (ASSUMPTION: spread + fees)</t>
  </si>
  <si>
    <t xml:space="preserve">Fees move. Kraken's July 2026 numbers conflicted between sources in my research; use YOUR account's real tier. Stock cost is my placeholder, not a measured number.</t>
  </si>
  <si>
    <t xml:space="preserve">Topic</t>
  </si>
  <si>
    <t xml:space="preserve">Result</t>
  </si>
  <si>
    <t xml:space="preserve">Data / note</t>
  </si>
  <si>
    <t xml:space="preserve">Direction vs volatility</t>
  </si>
  <si>
    <t xml:space="preserve">Direction AUC 0.513 (0.500 = coin flip). Volatility AUC 0.716 (LOUD) and 0.747 (QUIET). When the volatility model is confident it is 82-85% right, on about 2-5% of bars.</t>
  </si>
  <si>
    <t xml:space="preserve">67,585 hourly bars, 2019-2026, walk-forward</t>
  </si>
  <si>
    <t xml:space="preserve">Leakage control</t>
  </si>
  <si>
    <t xml:space="preserve">Real labels AUC 0.521; shuffled labels 0.499. The small edge is real but small.</t>
  </si>
  <si>
    <t xml:space="preserve">same</t>
  </si>
  <si>
    <t xml:space="preserve">Weekend</t>
  </si>
  <si>
    <t xml:space="preserve">Direction AUC 0.498 on 16,224 weekend bars: no edge.</t>
  </si>
  <si>
    <t xml:space="preserve">Configurations tested</t>
  </si>
  <si>
    <t xml:space="preserve">72. Zero profitable at retail taker fees. 19 of the 21 positive results needed maker-tier fees.</t>
  </si>
  <si>
    <t xml:space="preserve">Best structure</t>
  </si>
  <si>
    <t xml:space="preserve">Stop 4 ATR, target 2R, 96-hour limit, long only, volatility gate: 224 trades, 48.7% hit, +0.125R, profit factor 1.27, max drawdown -11.7%. Gate lowered drawdown from -20.0% to -11.7%.</t>
  </si>
  <si>
    <t xml:space="preserve">TIGHT structure (stop 1 ATR, target 1.5R, 24h) - setup | trades | gross hit | gross R | net R @30bp | cost R</t>
  </si>
  <si>
    <t xml:space="preserve">RSI-2 | 1361 | 43.3% | +0.076 | -0.406 | 0.48 ;  Sweep reclaim | 953 | 40.9% | +0.017 | -0.448 | 0.47 ;  Trend pullback | 1296 | 40.7% | +0.008 | -0.476 | 0.48 ;  Breakout retest | 761 | 40.2% | +0.007 | -0.466 | 0.47 ;  Every bar (benchmark) | 10900 | 40.1% | -0.005 | -0.481 | 0.48 ;  ORB | 967 | 38.7% | -0.039 | -0.520 | 0.48</t>
  </si>
  <si>
    <t xml:space="preserve">WIDE structure (stop 4 ATR, target 2R, 96h) - same columns</t>
  </si>
  <si>
    <t xml:space="preserve">ORB | 590 | 42.7% | +0.130 | +0.015 | 0.12 ;  RSI-2 | 492 | 44.9% | +0.113 | -0.003 | 0.12 ;  Breakout retest | 428 | 42.3% | +0.110 | -0.007 | 0.12 ;  Trend pullback | 476 | 43.5% | +0.093 | -0.026 | 0.12 ;  Every bar (benchmark) | 1236 | 44.0% | +0.085 | -0.026 | 0.11 ;  Sweep reclaim | 561 | 43.5% | +0.058 | -0.057 | 0.12 ;  VWAP 2-sigma fade | 30 | 40.0% | -0.060 | -0.173 | 0.11</t>
  </si>
  <si>
    <t xml:space="preserve">Lesson</t>
  </si>
  <si>
    <t xml:space="preserve">Most setups barely beat 'just be long every bar'. Always compare to the benchmark. The same setups flip from worst to best only by stop width and hold time.</t>
  </si>
  <si>
    <t xml:space="preserve">How far to trust this</t>
  </si>
  <si>
    <t xml:space="preserve">Source: your Jarvus skill (v5 science notes). I read the numbers there and copied them. I did not re-run them. BTC only, hourly bars, one asset class. Winners picked from 72 tries are flattered. Stocks and other coins are untested.</t>
  </si>
</sst>
</file>

<file path=xl/styles.xml><?xml version="1.0" encoding="utf-8"?>
<styleSheet xmlns="http://schemas.openxmlformats.org/spreadsheetml/2006/main">
  <numFmts count="3">
    <numFmt numFmtId="164" formatCode="General"/>
    <numFmt numFmtId="165" formatCode="0.00"/>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sz val="10"/>
      <name val="Arial"/>
      <family val="0"/>
      <charset val="1"/>
    </font>
    <font>
      <b val="true"/>
      <sz val="10"/>
      <color rgb="FFFFFFFF"/>
      <name val="Arial"/>
      <family val="0"/>
      <charset val="1"/>
    </font>
    <font>
      <b val="true"/>
      <sz val="11"/>
      <name val="Cambria"/>
      <family val="0"/>
      <charset val="1"/>
    </font>
    <font>
      <b val="true"/>
      <sz val="11"/>
      <color rgb="FFFFFFFF"/>
      <name val="Cambria"/>
      <family val="0"/>
      <charset val="1"/>
    </font>
  </fonts>
  <fills count="5">
    <fill>
      <patternFill patternType="none"/>
    </fill>
    <fill>
      <patternFill patternType="gray125"/>
    </fill>
    <fill>
      <patternFill patternType="solid">
        <fgColor rgb="FF1F3864"/>
        <bgColor rgb="FF333333"/>
      </patternFill>
    </fill>
    <fill>
      <patternFill patternType="solid">
        <fgColor rgb="FFE2EFDA"/>
        <bgColor rgb="FFC6EFCE"/>
      </patternFill>
    </fill>
    <fill>
      <patternFill patternType="solid">
        <fgColor rgb="FFFFF2CC"/>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2EFD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5"/>
  </cols>
  <sheetData>
    <row r="1" customFormat="false" ht="17.25" hidden="false" customHeight="true" outlineLevel="0" collapsed="false">
      <c r="A1" s="2" t="s">
        <v>0</v>
      </c>
    </row>
    <row r="2" customFormat="false" ht="26.25" hidden="false" customHeight="true" outlineLevel="0" collapsed="false">
      <c r="A2" s="3" t="s">
        <v>1</v>
      </c>
    </row>
    <row r="3" customFormat="false" ht="15" hidden="false" customHeight="true" outlineLevel="0" collapsed="false">
      <c r="A3" s="4" t="s">
        <v>2</v>
      </c>
    </row>
    <row r="4" customFormat="false" ht="15" hidden="false" customHeight="true" outlineLevel="0" collapsed="false">
      <c r="A4" s="3" t="s">
        <v>3</v>
      </c>
    </row>
    <row r="5" customFormat="false" ht="26.25" hidden="false" customHeight="true" outlineLevel="0" collapsed="false">
      <c r="A5" s="3" t="s">
        <v>4</v>
      </c>
    </row>
    <row r="6" customFormat="false" ht="26.25" hidden="false" customHeight="true" outlineLevel="0" collapsed="false">
      <c r="A6" s="3" t="s">
        <v>5</v>
      </c>
    </row>
    <row r="7" customFormat="false" ht="15" hidden="false" customHeight="true" outlineLevel="0" collapsed="false">
      <c r="A7" s="4" t="s">
        <v>6</v>
      </c>
    </row>
    <row r="8" customFormat="false" ht="15" hidden="false" customHeight="true" outlineLevel="0" collapsed="false">
      <c r="A8" s="3" t="s">
        <v>7</v>
      </c>
    </row>
    <row r="9" customFormat="false" ht="15" hidden="false" customHeight="true" outlineLevel="0" collapsed="false">
      <c r="A9" s="3" t="s">
        <v>8</v>
      </c>
    </row>
    <row r="10" customFormat="false" ht="15" hidden="false" customHeight="true" outlineLevel="0" collapsed="false">
      <c r="A10" s="3" t="s">
        <v>9</v>
      </c>
    </row>
    <row r="11" customFormat="false" ht="26.25" hidden="false" customHeight="true" outlineLevel="0" collapsed="false">
      <c r="A11" s="3" t="s">
        <v>10</v>
      </c>
    </row>
    <row r="12" customFormat="false" ht="15" hidden="false" customHeight="true" outlineLevel="0" collapsed="false">
      <c r="A12" s="3" t="s">
        <v>11</v>
      </c>
    </row>
    <row r="13" customFormat="false" ht="15" hidden="false" customHeight="true" outlineLevel="0" collapsed="false">
      <c r="A13" s="3" t="s">
        <v>12</v>
      </c>
    </row>
    <row r="14" customFormat="false" ht="15" hidden="false" customHeight="true" outlineLevel="0" collapsed="false">
      <c r="A14" s="3" t="s">
        <v>13</v>
      </c>
    </row>
    <row r="15" customFormat="false" ht="15" hidden="false" customHeight="true" outlineLevel="0" collapsed="false">
      <c r="A15" s="4" t="s">
        <v>14</v>
      </c>
    </row>
    <row r="16" customFormat="false" ht="15" hidden="false" customHeight="true" outlineLevel="0" collapsed="false">
      <c r="A16" s="3" t="s">
        <v>15</v>
      </c>
    </row>
    <row r="17" customFormat="false" ht="15" hidden="false" customHeight="true" outlineLevel="0" collapsed="false">
      <c r="A17" s="3" t="s">
        <v>16</v>
      </c>
    </row>
    <row r="18" customFormat="false" ht="15" hidden="false" customHeight="true" outlineLevel="0" collapsed="false">
      <c r="A18" s="3" t="s">
        <v>17</v>
      </c>
    </row>
    <row r="19" customFormat="false" ht="15" hidden="false" customHeight="true" outlineLevel="0" collapsed="false">
      <c r="A19" s="3" t="s">
        <v>18</v>
      </c>
    </row>
    <row r="20" customFormat="false" ht="15" hidden="false" customHeight="false" outlineLevel="0" collapsed="false">
      <c r="A20" s="3" t="s">
        <v>19</v>
      </c>
    </row>
    <row r="21" customFormat="false" ht="26.85" hidden="false" customHeight="false" outlineLevel="0" collapsed="false">
      <c r="A21" s="3" t="s">
        <v>20</v>
      </c>
    </row>
    <row r="22" customFormat="false" ht="26.85" hidden="false" customHeight="false" outlineLevel="0" collapsed="false">
      <c r="A22" s="3" t="s">
        <v>21</v>
      </c>
    </row>
    <row r="23" customFormat="false" ht="39.55" hidden="false" customHeight="false" outlineLevel="0" collapsed="false">
      <c r="A23" s="3" t="s">
        <v>22</v>
      </c>
    </row>
    <row r="24" customFormat="false" ht="26.85" hidden="false" customHeight="false" outlineLevel="0" collapsed="false">
      <c r="A24" s="3" t="s">
        <v>23</v>
      </c>
    </row>
    <row r="25" customFormat="false" ht="15" hidden="false" customHeight="false" outlineLevel="0" collapsed="false">
      <c r="A25" s="3" t="s">
        <v>24</v>
      </c>
    </row>
    <row r="26" customFormat="false" ht="26.85" hidden="false" customHeight="false" outlineLevel="0" collapsed="false">
      <c r="A26" s="3"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2"/>
  </cols>
  <sheetData>
    <row r="1" customFormat="false" ht="17.25" hidden="false" customHeight="true" outlineLevel="0" collapsed="false">
      <c r="A1" s="5" t="s">
        <v>26</v>
      </c>
    </row>
    <row r="3" customFormat="false" ht="15" hidden="false" customHeight="true" outlineLevel="0" collapsed="false">
      <c r="A3" s="6" t="s">
        <v>27</v>
      </c>
      <c r="B3" s="6" t="n">
        <f aca="false">COUNTIF(Keep!A:A,"1 CORE")</f>
        <v>48</v>
      </c>
    </row>
    <row r="4" customFormat="false" ht="15" hidden="false" customHeight="true" outlineLevel="0" collapsed="false">
      <c r="A4" s="6" t="s">
        <v>28</v>
      </c>
      <c r="B4" s="6" t="n">
        <f aca="false">COUNTIF(Keep!A:A,"2 TEST")</f>
        <v>52</v>
      </c>
    </row>
    <row r="5" customFormat="false" ht="15" hidden="false" customHeight="true" outlineLevel="0" collapsed="false">
      <c r="A5" s="6" t="s">
        <v>29</v>
      </c>
      <c r="B5" s="6" t="n">
        <f aca="false">B3+B4</f>
        <v>100</v>
      </c>
    </row>
    <row r="6" customFormat="false" ht="15" hidden="false" customHeight="true" outlineLevel="0" collapsed="false">
      <c r="A6" s="6" t="s">
        <v>30</v>
      </c>
      <c r="B6" s="6" t="n">
        <f aca="false">COUNTIF(Keep!B:B,"Yes")</f>
        <v>16</v>
      </c>
    </row>
    <row r="7" customFormat="false" ht="15" hidden="false" customHeight="true" outlineLevel="0" collapsed="false">
      <c r="A7" s="6" t="s">
        <v>31</v>
      </c>
      <c r="B7" s="6" t="n">
        <f aca="false">COUNTA('New (to build)'!A:A)-1</f>
        <v>11</v>
      </c>
    </row>
    <row r="8" customFormat="false" ht="15" hidden="false" customHeight="true" outlineLevel="0" collapsed="false">
      <c r="A8" s="6" t="s">
        <v>32</v>
      </c>
      <c r="B8" s="6" t="n">
        <f aca="false">COUNTA(Cut!A:A)-1</f>
        <v>56</v>
      </c>
    </row>
    <row r="9" customFormat="false" ht="15" hidden="false" customHeight="true" outlineLevel="0" collapsed="false">
      <c r="A9" s="6" t="s">
        <v>33</v>
      </c>
      <c r="B9" s="6" t="n">
        <f aca="false">COUNTIF(Cut!E:E,"*needs data*")</f>
        <v>15</v>
      </c>
    </row>
    <row r="10" customFormat="false" ht="15" hidden="false" customHeight="true" outlineLevel="0" collapsed="false">
      <c r="A10" s="6" t="s">
        <v>34</v>
      </c>
      <c r="B10" s="6" t="n">
        <f aca="false">COUNTIF(Cut!E:E,"*forex*")</f>
        <v>4</v>
      </c>
    </row>
    <row r="11" customFormat="false" ht="15" hidden="false" customHeight="true" outlineLevel="0" collapsed="false">
      <c r="A11" s="6" t="s">
        <v>35</v>
      </c>
      <c r="B11" s="6" t="n">
        <f aca="false">COUNTIF(Cut!E:E,"*overnight*")</f>
        <v>3</v>
      </c>
    </row>
    <row r="12" customFormat="false" ht="15" hidden="false" customHeight="true" outlineLevel="0" collapsed="false">
      <c r="A12" s="6" t="s">
        <v>36</v>
      </c>
      <c r="B12" s="6" t="n">
        <f aca="false">COUNTIF(Cut!E:E,"*copy of*")</f>
        <v>32</v>
      </c>
    </row>
    <row r="13" customFormat="false" ht="15" hidden="false" customHeight="true" outlineLevel="0" collapsed="false">
      <c r="A13" s="6" t="s">
        <v>37</v>
      </c>
      <c r="B13" s="6" t="n">
        <f aca="false">B8-SUM(B9:B12)</f>
        <v>2</v>
      </c>
    </row>
    <row r="14" customFormat="false" ht="15" hidden="false" customHeight="true" outlineLevel="0" collapsed="false">
      <c r="A14" s="6" t="s">
        <v>38</v>
      </c>
      <c r="B14" s="6" t="n">
        <f aca="false">COUNTIF(Keep!E:E,"A")</f>
        <v>0</v>
      </c>
    </row>
    <row r="15" customFormat="false" ht="15" hidden="false" customHeight="true" outlineLevel="0" collapsed="false">
      <c r="A15" s="6" t="s">
        <v>39</v>
      </c>
      <c r="B15" s="6" t="n">
        <f aca="false">COUNTIF(Keep!E:E,"B")</f>
        <v>4</v>
      </c>
    </row>
    <row r="16" customFormat="false" ht="15" hidden="false" customHeight="true" outlineLevel="0" collapsed="false">
      <c r="A16" s="6" t="s">
        <v>40</v>
      </c>
      <c r="B16" s="6" t="n">
        <f aca="false">COUNTIF(Keep!E:E,"C")</f>
        <v>45</v>
      </c>
    </row>
    <row r="17" customFormat="false" ht="15" hidden="false" customHeight="true" outlineLevel="0" collapsed="false">
      <c r="A17" s="6" t="s">
        <v>41</v>
      </c>
      <c r="B17" s="6" t="n">
        <f aca="false">COUNTIF(Keep!E:E,"D")</f>
        <v>51</v>
      </c>
    </row>
    <row r="19" customFormat="false" ht="15" hidden="false" customHeight="true" outlineLevel="0" collapsed="false">
      <c r="A19" s="6" t="s">
        <v>42</v>
      </c>
      <c r="B19" s="6" t="n">
        <f aca="false">COUNTA('Do not build'!A:A)-1</f>
        <v>12</v>
      </c>
    </row>
    <row r="20" customFormat="false" ht="15" hidden="false" customHeight="false" outlineLevel="0" collapsed="false">
      <c r="A20" s="1"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38"/>
    <col collapsed="false" customWidth="true" hidden="false" outlineLevel="0" max="4" min="4" style="1" width="40"/>
    <col collapsed="false" customWidth="true" hidden="false" outlineLevel="0" max="6" min="5" style="1" width="9"/>
    <col collapsed="false" customWidth="true" hidden="false" outlineLevel="0" max="7" min="7" style="1" width="44"/>
    <col collapsed="false" customWidth="true" hidden="false" outlineLevel="0" max="8" min="8" style="1" width="70"/>
    <col collapsed="false" customWidth="true" hidden="false" outlineLevel="0" max="9" min="9" style="1" width="18"/>
    <col collapsed="false" customWidth="true" hidden="false" outlineLevel="0" max="11" min="10" style="1" width="22"/>
    <col collapsed="false" customWidth="true" hidden="false" outlineLevel="0" max="12" min="12" style="1" width="56"/>
    <col collapsed="false" customWidth="true" hidden="false" outlineLevel="0" max="13" min="13" style="1" width="38"/>
    <col collapsed="false" customWidth="true" hidden="false" outlineLevel="0" max="14" min="14" style="1" width="24"/>
    <col collapsed="false" customWidth="true" hidden="false" outlineLevel="0" max="15" min="15" style="1" width="34"/>
    <col collapsed="false" customWidth="true" hidden="false" outlineLevel="0" max="17" min="16" style="0" width="60"/>
  </cols>
  <sheetData>
    <row r="1" customFormat="false" ht="30" hidden="false" customHeight="true" outlineLevel="0" collapsed="false">
      <c r="A1" s="7" t="s">
        <v>44</v>
      </c>
      <c r="B1" s="7" t="s">
        <v>45</v>
      </c>
      <c r="C1" s="7" t="s">
        <v>46</v>
      </c>
      <c r="D1" s="7" t="s">
        <v>47</v>
      </c>
      <c r="E1" s="7" t="s">
        <v>48</v>
      </c>
      <c r="F1" s="7" t="s">
        <v>49</v>
      </c>
      <c r="G1" s="7" t="s">
        <v>50</v>
      </c>
      <c r="H1" s="7" t="s">
        <v>51</v>
      </c>
      <c r="I1" s="7" t="s">
        <v>52</v>
      </c>
      <c r="J1" s="7" t="s">
        <v>53</v>
      </c>
      <c r="K1" s="7" t="s">
        <v>54</v>
      </c>
      <c r="L1" s="7" t="s">
        <v>55</v>
      </c>
      <c r="M1" s="7" t="s">
        <v>56</v>
      </c>
      <c r="N1" s="7" t="s">
        <v>57</v>
      </c>
      <c r="O1" s="7" t="s">
        <v>58</v>
      </c>
      <c r="P1" s="7" t="s">
        <v>59</v>
      </c>
      <c r="Q1" s="7" t="s">
        <v>60</v>
      </c>
    </row>
    <row r="2" customFormat="false" ht="34.5" hidden="false" customHeight="true" outlineLevel="0" collapsed="false">
      <c r="A2" s="8" t="s">
        <v>61</v>
      </c>
      <c r="B2" s="9" t="s">
        <v>62</v>
      </c>
      <c r="C2" s="9" t="s">
        <v>63</v>
      </c>
      <c r="D2" s="10" t="s">
        <v>64</v>
      </c>
      <c r="E2" s="9" t="s">
        <v>65</v>
      </c>
      <c r="F2" s="9" t="s">
        <v>66</v>
      </c>
      <c r="G2" s="10" t="s">
        <v>67</v>
      </c>
      <c r="H2" s="10" t="s">
        <v>68</v>
      </c>
      <c r="I2" s="9" t="s">
        <v>69</v>
      </c>
      <c r="J2" s="10" t="s">
        <v>70</v>
      </c>
      <c r="K2" s="10" t="s">
        <v>71</v>
      </c>
      <c r="L2" s="10" t="s">
        <v>72</v>
      </c>
      <c r="M2" s="10" t="s">
        <v>73</v>
      </c>
      <c r="N2" s="9" t="s">
        <v>74</v>
      </c>
      <c r="O2" s="9" t="s">
        <v>75</v>
      </c>
      <c r="P2" s="9" t="s">
        <v>76</v>
      </c>
      <c r="Q2" s="9" t="s">
        <v>77</v>
      </c>
    </row>
    <row r="3" customFormat="false" ht="34.5" hidden="false" customHeight="true" outlineLevel="0" collapsed="false">
      <c r="A3" s="8" t="s">
        <v>61</v>
      </c>
      <c r="B3" s="9" t="s">
        <v>62</v>
      </c>
      <c r="C3" s="9" t="s">
        <v>78</v>
      </c>
      <c r="D3" s="10" t="s">
        <v>64</v>
      </c>
      <c r="E3" s="9" t="s">
        <v>65</v>
      </c>
      <c r="F3" s="9" t="s">
        <v>66</v>
      </c>
      <c r="G3" s="10" t="s">
        <v>67</v>
      </c>
      <c r="H3" s="10" t="s">
        <v>68</v>
      </c>
      <c r="I3" s="9" t="s">
        <v>69</v>
      </c>
      <c r="J3" s="10" t="s">
        <v>70</v>
      </c>
      <c r="K3" s="10" t="s">
        <v>71</v>
      </c>
      <c r="L3" s="10" t="s">
        <v>72</v>
      </c>
      <c r="M3" s="10" t="s">
        <v>79</v>
      </c>
      <c r="N3" s="9" t="s">
        <v>74</v>
      </c>
      <c r="O3" s="9" t="s">
        <v>80</v>
      </c>
      <c r="P3" s="9" t="s">
        <v>76</v>
      </c>
      <c r="Q3" s="9" t="s">
        <v>77</v>
      </c>
    </row>
    <row r="4" customFormat="false" ht="23.25" hidden="false" customHeight="true" outlineLevel="0" collapsed="false">
      <c r="A4" s="8" t="s">
        <v>61</v>
      </c>
      <c r="B4" s="9" t="s">
        <v>62</v>
      </c>
      <c r="C4" s="9" t="s">
        <v>81</v>
      </c>
      <c r="D4" s="10" t="s">
        <v>82</v>
      </c>
      <c r="E4" s="9" t="s">
        <v>65</v>
      </c>
      <c r="F4" s="9" t="s">
        <v>65</v>
      </c>
      <c r="G4" s="10" t="s">
        <v>83</v>
      </c>
      <c r="H4" s="10" t="s">
        <v>84</v>
      </c>
      <c r="I4" s="9" t="s">
        <v>69</v>
      </c>
      <c r="J4" s="10" t="s">
        <v>85</v>
      </c>
      <c r="K4" s="10" t="s">
        <v>86</v>
      </c>
      <c r="L4" s="10" t="s">
        <v>87</v>
      </c>
      <c r="M4" s="10" t="s">
        <v>79</v>
      </c>
      <c r="N4" s="9" t="s">
        <v>74</v>
      </c>
      <c r="O4" s="9" t="s">
        <v>88</v>
      </c>
      <c r="P4" s="9" t="s">
        <v>89</v>
      </c>
      <c r="Q4" s="9" t="s">
        <v>90</v>
      </c>
    </row>
    <row r="5" customFormat="false" ht="23.25" hidden="false" customHeight="true" outlineLevel="0" collapsed="false">
      <c r="A5" s="8" t="s">
        <v>61</v>
      </c>
      <c r="B5" s="9" t="s">
        <v>62</v>
      </c>
      <c r="C5" s="9" t="s">
        <v>91</v>
      </c>
      <c r="D5" s="10" t="s">
        <v>92</v>
      </c>
      <c r="E5" s="9" t="s">
        <v>65</v>
      </c>
      <c r="F5" s="9" t="s">
        <v>65</v>
      </c>
      <c r="G5" s="10" t="s">
        <v>93</v>
      </c>
      <c r="H5" s="10" t="s">
        <v>94</v>
      </c>
      <c r="I5" s="9" t="s">
        <v>69</v>
      </c>
      <c r="J5" s="10" t="s">
        <v>85</v>
      </c>
      <c r="K5" s="10" t="s">
        <v>86</v>
      </c>
      <c r="L5" s="10" t="s">
        <v>95</v>
      </c>
      <c r="M5" s="10" t="s">
        <v>96</v>
      </c>
      <c r="N5" s="9" t="s">
        <v>97</v>
      </c>
      <c r="O5" s="9" t="s">
        <v>98</v>
      </c>
      <c r="P5" s="9" t="s">
        <v>89</v>
      </c>
      <c r="Q5" s="9" t="s">
        <v>90</v>
      </c>
    </row>
    <row r="6" customFormat="false" ht="34.5" hidden="false" customHeight="true" outlineLevel="0" collapsed="false">
      <c r="A6" s="8" t="s">
        <v>61</v>
      </c>
      <c r="B6" s="9" t="s">
        <v>62</v>
      </c>
      <c r="C6" s="9" t="s">
        <v>99</v>
      </c>
      <c r="D6" s="10" t="s">
        <v>100</v>
      </c>
      <c r="E6" s="9" t="s">
        <v>66</v>
      </c>
      <c r="F6" s="9" t="s">
        <v>101</v>
      </c>
      <c r="G6" s="10" t="s">
        <v>102</v>
      </c>
      <c r="H6" s="10" t="s">
        <v>103</v>
      </c>
      <c r="I6" s="9" t="s">
        <v>69</v>
      </c>
      <c r="J6" s="10" t="s">
        <v>70</v>
      </c>
      <c r="K6" s="10" t="s">
        <v>71</v>
      </c>
      <c r="L6" s="10" t="s">
        <v>104</v>
      </c>
      <c r="M6" s="10" t="s">
        <v>79</v>
      </c>
      <c r="N6" s="9" t="s">
        <v>74</v>
      </c>
      <c r="O6" s="9" t="s">
        <v>105</v>
      </c>
      <c r="P6" s="9" t="s">
        <v>76</v>
      </c>
      <c r="Q6" s="9" t="s">
        <v>77</v>
      </c>
    </row>
    <row r="7" customFormat="false" ht="23.25" hidden="false" customHeight="true" outlineLevel="0" collapsed="false">
      <c r="A7" s="8" t="s">
        <v>61</v>
      </c>
      <c r="B7" s="9" t="s">
        <v>62</v>
      </c>
      <c r="C7" s="9" t="s">
        <v>106</v>
      </c>
      <c r="D7" s="10" t="s">
        <v>107</v>
      </c>
      <c r="E7" s="9" t="s">
        <v>65</v>
      </c>
      <c r="F7" s="9" t="s">
        <v>66</v>
      </c>
      <c r="G7" s="10" t="s">
        <v>108</v>
      </c>
      <c r="H7" s="10" t="s">
        <v>109</v>
      </c>
      <c r="I7" s="9" t="s">
        <v>69</v>
      </c>
      <c r="J7" s="10" t="s">
        <v>85</v>
      </c>
      <c r="K7" s="10" t="s">
        <v>86</v>
      </c>
      <c r="L7" s="10" t="s">
        <v>110</v>
      </c>
      <c r="M7" s="10" t="s">
        <v>79</v>
      </c>
      <c r="N7" s="9" t="s">
        <v>74</v>
      </c>
      <c r="O7" s="9" t="s">
        <v>111</v>
      </c>
      <c r="P7" s="9" t="s">
        <v>89</v>
      </c>
      <c r="Q7" s="9" t="s">
        <v>90</v>
      </c>
    </row>
    <row r="8" customFormat="false" ht="34.5" hidden="false" customHeight="true" outlineLevel="0" collapsed="false">
      <c r="A8" s="8" t="s">
        <v>61</v>
      </c>
      <c r="B8" s="9" t="s">
        <v>62</v>
      </c>
      <c r="C8" s="9" t="s">
        <v>112</v>
      </c>
      <c r="D8" s="10" t="s">
        <v>113</v>
      </c>
      <c r="E8" s="9" t="s">
        <v>65</v>
      </c>
      <c r="F8" s="9" t="s">
        <v>66</v>
      </c>
      <c r="G8" s="10" t="s">
        <v>114</v>
      </c>
      <c r="H8" s="10" t="s">
        <v>115</v>
      </c>
      <c r="I8" s="9" t="s">
        <v>69</v>
      </c>
      <c r="J8" s="10" t="s">
        <v>116</v>
      </c>
      <c r="K8" s="10" t="s">
        <v>71</v>
      </c>
      <c r="L8" s="10" t="s">
        <v>117</v>
      </c>
      <c r="M8" s="10" t="s">
        <v>79</v>
      </c>
      <c r="N8" s="9" t="s">
        <v>74</v>
      </c>
      <c r="O8" s="9" t="s">
        <v>118</v>
      </c>
      <c r="P8" s="9" t="s">
        <v>76</v>
      </c>
      <c r="Q8" s="9" t="s">
        <v>77</v>
      </c>
    </row>
    <row r="9" customFormat="false" ht="23.25" hidden="false" customHeight="true" outlineLevel="0" collapsed="false">
      <c r="A9" s="8" t="s">
        <v>61</v>
      </c>
      <c r="B9" s="9" t="s">
        <v>62</v>
      </c>
      <c r="C9" s="9" t="s">
        <v>119</v>
      </c>
      <c r="D9" s="10" t="s">
        <v>120</v>
      </c>
      <c r="E9" s="9" t="s">
        <v>65</v>
      </c>
      <c r="F9" s="9" t="s">
        <v>65</v>
      </c>
      <c r="G9" s="10" t="s">
        <v>121</v>
      </c>
      <c r="H9" s="10" t="s">
        <v>122</v>
      </c>
      <c r="I9" s="9" t="s">
        <v>69</v>
      </c>
      <c r="J9" s="10" t="s">
        <v>85</v>
      </c>
      <c r="K9" s="10" t="s">
        <v>86</v>
      </c>
      <c r="L9" s="10" t="s">
        <v>123</v>
      </c>
      <c r="M9" s="10" t="s">
        <v>73</v>
      </c>
      <c r="N9" s="9" t="s">
        <v>74</v>
      </c>
      <c r="O9" s="9" t="s">
        <v>124</v>
      </c>
      <c r="P9" s="9" t="s">
        <v>89</v>
      </c>
      <c r="Q9" s="9" t="s">
        <v>90</v>
      </c>
    </row>
    <row r="10" customFormat="false" ht="23.25" hidden="false" customHeight="true" outlineLevel="0" collapsed="false">
      <c r="A10" s="8" t="s">
        <v>61</v>
      </c>
      <c r="B10" s="9" t="s">
        <v>62</v>
      </c>
      <c r="C10" s="9" t="s">
        <v>125</v>
      </c>
      <c r="D10" s="10" t="s">
        <v>120</v>
      </c>
      <c r="E10" s="9" t="s">
        <v>65</v>
      </c>
      <c r="F10" s="9" t="s">
        <v>65</v>
      </c>
      <c r="G10" s="10" t="s">
        <v>121</v>
      </c>
      <c r="H10" s="10" t="s">
        <v>122</v>
      </c>
      <c r="I10" s="9" t="s">
        <v>69</v>
      </c>
      <c r="J10" s="10" t="s">
        <v>85</v>
      </c>
      <c r="K10" s="10" t="s">
        <v>86</v>
      </c>
      <c r="L10" s="10" t="s">
        <v>126</v>
      </c>
      <c r="M10" s="10" t="s">
        <v>73</v>
      </c>
      <c r="N10" s="9" t="s">
        <v>74</v>
      </c>
      <c r="O10" s="9" t="s">
        <v>124</v>
      </c>
      <c r="P10" s="9" t="s">
        <v>89</v>
      </c>
      <c r="Q10" s="9" t="s">
        <v>90</v>
      </c>
    </row>
    <row r="11" customFormat="false" ht="23.25" hidden="false" customHeight="true" outlineLevel="0" collapsed="false">
      <c r="A11" s="8" t="s">
        <v>61</v>
      </c>
      <c r="B11" s="9" t="s">
        <v>62</v>
      </c>
      <c r="C11" s="9" t="s">
        <v>127</v>
      </c>
      <c r="D11" s="10" t="s">
        <v>128</v>
      </c>
      <c r="E11" s="9" t="s">
        <v>65</v>
      </c>
      <c r="F11" s="9" t="s">
        <v>65</v>
      </c>
      <c r="G11" s="10" t="s">
        <v>129</v>
      </c>
      <c r="H11" s="10" t="s">
        <v>130</v>
      </c>
      <c r="I11" s="9" t="s">
        <v>69</v>
      </c>
      <c r="J11" s="10" t="s">
        <v>70</v>
      </c>
      <c r="K11" s="10" t="s">
        <v>131</v>
      </c>
      <c r="L11" s="10" t="s">
        <v>132</v>
      </c>
      <c r="M11" s="10" t="s">
        <v>73</v>
      </c>
      <c r="N11" s="9" t="s">
        <v>74</v>
      </c>
      <c r="O11" s="9" t="s">
        <v>133</v>
      </c>
      <c r="P11" s="9" t="s">
        <v>76</v>
      </c>
      <c r="Q11" s="9" t="s">
        <v>77</v>
      </c>
    </row>
    <row r="12" customFormat="false" ht="23.25" hidden="false" customHeight="true" outlineLevel="0" collapsed="false">
      <c r="A12" s="8" t="s">
        <v>61</v>
      </c>
      <c r="B12" s="9" t="s">
        <v>62</v>
      </c>
      <c r="C12" s="9" t="s">
        <v>134</v>
      </c>
      <c r="D12" s="10" t="s">
        <v>135</v>
      </c>
      <c r="E12" s="9" t="s">
        <v>65</v>
      </c>
      <c r="F12" s="9" t="s">
        <v>65</v>
      </c>
      <c r="G12" s="10" t="s">
        <v>136</v>
      </c>
      <c r="H12" s="10" t="s">
        <v>137</v>
      </c>
      <c r="I12" s="9" t="s">
        <v>69</v>
      </c>
      <c r="J12" s="10" t="s">
        <v>85</v>
      </c>
      <c r="K12" s="10" t="s">
        <v>86</v>
      </c>
      <c r="L12" s="10" t="s">
        <v>138</v>
      </c>
      <c r="M12" s="10" t="s">
        <v>79</v>
      </c>
      <c r="N12" s="9" t="s">
        <v>74</v>
      </c>
      <c r="O12" s="9" t="s">
        <v>139</v>
      </c>
      <c r="P12" s="9" t="s">
        <v>89</v>
      </c>
      <c r="Q12" s="9" t="s">
        <v>140</v>
      </c>
    </row>
    <row r="13" customFormat="false" ht="23.25" hidden="false" customHeight="true" outlineLevel="0" collapsed="false">
      <c r="A13" s="8" t="s">
        <v>61</v>
      </c>
      <c r="B13" s="9" t="s">
        <v>62</v>
      </c>
      <c r="C13" s="9" t="s">
        <v>141</v>
      </c>
      <c r="D13" s="10" t="s">
        <v>142</v>
      </c>
      <c r="E13" s="9" t="s">
        <v>65</v>
      </c>
      <c r="F13" s="9" t="s">
        <v>65</v>
      </c>
      <c r="G13" s="10" t="s">
        <v>143</v>
      </c>
      <c r="H13" s="10" t="s">
        <v>144</v>
      </c>
      <c r="I13" s="9" t="s">
        <v>69</v>
      </c>
      <c r="J13" s="10" t="s">
        <v>85</v>
      </c>
      <c r="K13" s="10" t="s">
        <v>86</v>
      </c>
      <c r="L13" s="10" t="s">
        <v>145</v>
      </c>
      <c r="M13" s="10" t="s">
        <v>73</v>
      </c>
      <c r="N13" s="9" t="s">
        <v>74</v>
      </c>
      <c r="O13" s="9" t="s">
        <v>146</v>
      </c>
      <c r="P13" s="9" t="s">
        <v>89</v>
      </c>
      <c r="Q13" s="9" t="s">
        <v>90</v>
      </c>
    </row>
    <row r="14" customFormat="false" ht="34.5" hidden="false" customHeight="true" outlineLevel="0" collapsed="false">
      <c r="A14" s="8" t="s">
        <v>61</v>
      </c>
      <c r="B14" s="9"/>
      <c r="C14" s="9" t="s">
        <v>147</v>
      </c>
      <c r="D14" s="10" t="s">
        <v>64</v>
      </c>
      <c r="E14" s="9" t="s">
        <v>65</v>
      </c>
      <c r="F14" s="9" t="s">
        <v>66</v>
      </c>
      <c r="G14" s="10" t="s">
        <v>67</v>
      </c>
      <c r="H14" s="10" t="s">
        <v>68</v>
      </c>
      <c r="I14" s="9" t="s">
        <v>69</v>
      </c>
      <c r="J14" s="10" t="s">
        <v>70</v>
      </c>
      <c r="K14" s="10" t="s">
        <v>71</v>
      </c>
      <c r="L14" s="10" t="s">
        <v>148</v>
      </c>
      <c r="M14" s="10" t="s">
        <v>73</v>
      </c>
      <c r="N14" s="9" t="s">
        <v>74</v>
      </c>
      <c r="O14" s="9" t="s">
        <v>75</v>
      </c>
      <c r="P14" s="9" t="s">
        <v>76</v>
      </c>
      <c r="Q14" s="9" t="s">
        <v>77</v>
      </c>
    </row>
    <row r="15" customFormat="false" ht="34.5" hidden="false" customHeight="true" outlineLevel="0" collapsed="false">
      <c r="A15" s="8" t="s">
        <v>61</v>
      </c>
      <c r="B15" s="9"/>
      <c r="C15" s="9" t="s">
        <v>149</v>
      </c>
      <c r="D15" s="10" t="s">
        <v>64</v>
      </c>
      <c r="E15" s="9" t="s">
        <v>65</v>
      </c>
      <c r="F15" s="9" t="s">
        <v>66</v>
      </c>
      <c r="G15" s="10" t="s">
        <v>67</v>
      </c>
      <c r="H15" s="10" t="s">
        <v>68</v>
      </c>
      <c r="I15" s="9" t="s">
        <v>69</v>
      </c>
      <c r="J15" s="10" t="s">
        <v>70</v>
      </c>
      <c r="K15" s="10" t="s">
        <v>71</v>
      </c>
      <c r="L15" s="10" t="s">
        <v>148</v>
      </c>
      <c r="M15" s="10" t="s">
        <v>79</v>
      </c>
      <c r="N15" s="9" t="s">
        <v>74</v>
      </c>
      <c r="O15" s="9" t="s">
        <v>80</v>
      </c>
      <c r="P15" s="9" t="s">
        <v>76</v>
      </c>
      <c r="Q15" s="9" t="s">
        <v>77</v>
      </c>
    </row>
    <row r="16" customFormat="false" ht="34.5" hidden="false" customHeight="true" outlineLevel="0" collapsed="false">
      <c r="A16" s="8" t="s">
        <v>61</v>
      </c>
      <c r="B16" s="9"/>
      <c r="C16" s="9" t="s">
        <v>150</v>
      </c>
      <c r="D16" s="10" t="s">
        <v>64</v>
      </c>
      <c r="E16" s="9" t="s">
        <v>65</v>
      </c>
      <c r="F16" s="9" t="s">
        <v>66</v>
      </c>
      <c r="G16" s="10" t="s">
        <v>67</v>
      </c>
      <c r="H16" s="10" t="s">
        <v>68</v>
      </c>
      <c r="I16" s="9" t="s">
        <v>69</v>
      </c>
      <c r="J16" s="10" t="s">
        <v>70</v>
      </c>
      <c r="K16" s="10" t="s">
        <v>71</v>
      </c>
      <c r="L16" s="10" t="s">
        <v>151</v>
      </c>
      <c r="M16" s="10" t="s">
        <v>73</v>
      </c>
      <c r="N16" s="9" t="s">
        <v>74</v>
      </c>
      <c r="O16" s="9" t="s">
        <v>75</v>
      </c>
      <c r="P16" s="9" t="s">
        <v>76</v>
      </c>
      <c r="Q16" s="9" t="s">
        <v>77</v>
      </c>
    </row>
    <row r="17" customFormat="false" ht="34.5" hidden="false" customHeight="true" outlineLevel="0" collapsed="false">
      <c r="A17" s="8" t="s">
        <v>61</v>
      </c>
      <c r="B17" s="9"/>
      <c r="C17" s="9" t="s">
        <v>152</v>
      </c>
      <c r="D17" s="10" t="s">
        <v>64</v>
      </c>
      <c r="E17" s="9" t="s">
        <v>65</v>
      </c>
      <c r="F17" s="9" t="s">
        <v>66</v>
      </c>
      <c r="G17" s="10" t="s">
        <v>67</v>
      </c>
      <c r="H17" s="10" t="s">
        <v>68</v>
      </c>
      <c r="I17" s="9" t="s">
        <v>69</v>
      </c>
      <c r="J17" s="10" t="s">
        <v>70</v>
      </c>
      <c r="K17" s="10" t="s">
        <v>71</v>
      </c>
      <c r="L17" s="10" t="s">
        <v>151</v>
      </c>
      <c r="M17" s="10" t="s">
        <v>79</v>
      </c>
      <c r="N17" s="9" t="s">
        <v>74</v>
      </c>
      <c r="O17" s="9" t="s">
        <v>80</v>
      </c>
      <c r="P17" s="9" t="s">
        <v>76</v>
      </c>
      <c r="Q17" s="9" t="s">
        <v>77</v>
      </c>
    </row>
    <row r="18" customFormat="false" ht="23.25" hidden="false" customHeight="true" outlineLevel="0" collapsed="false">
      <c r="A18" s="8" t="s">
        <v>61</v>
      </c>
      <c r="B18" s="9"/>
      <c r="C18" s="9" t="s">
        <v>153</v>
      </c>
      <c r="D18" s="10" t="s">
        <v>82</v>
      </c>
      <c r="E18" s="9" t="s">
        <v>65</v>
      </c>
      <c r="F18" s="9" t="s">
        <v>65</v>
      </c>
      <c r="G18" s="10" t="s">
        <v>83</v>
      </c>
      <c r="H18" s="10" t="s">
        <v>84</v>
      </c>
      <c r="I18" s="9" t="s">
        <v>69</v>
      </c>
      <c r="J18" s="10" t="s">
        <v>85</v>
      </c>
      <c r="K18" s="10" t="s">
        <v>86</v>
      </c>
      <c r="L18" s="10" t="s">
        <v>154</v>
      </c>
      <c r="M18" s="10" t="s">
        <v>73</v>
      </c>
      <c r="N18" s="9" t="s">
        <v>74</v>
      </c>
      <c r="O18" s="9" t="s">
        <v>155</v>
      </c>
      <c r="P18" s="9" t="s">
        <v>89</v>
      </c>
      <c r="Q18" s="9" t="s">
        <v>90</v>
      </c>
    </row>
    <row r="19" customFormat="false" ht="23.25" hidden="false" customHeight="true" outlineLevel="0" collapsed="false">
      <c r="A19" s="8" t="s">
        <v>61</v>
      </c>
      <c r="B19" s="9"/>
      <c r="C19" s="9" t="s">
        <v>156</v>
      </c>
      <c r="D19" s="10" t="s">
        <v>82</v>
      </c>
      <c r="E19" s="9" t="s">
        <v>65</v>
      </c>
      <c r="F19" s="9" t="s">
        <v>65</v>
      </c>
      <c r="G19" s="10" t="s">
        <v>83</v>
      </c>
      <c r="H19" s="10" t="s">
        <v>84</v>
      </c>
      <c r="I19" s="9" t="s">
        <v>69</v>
      </c>
      <c r="J19" s="10" t="s">
        <v>85</v>
      </c>
      <c r="K19" s="10" t="s">
        <v>86</v>
      </c>
      <c r="L19" s="10" t="s">
        <v>154</v>
      </c>
      <c r="M19" s="10" t="s">
        <v>79</v>
      </c>
      <c r="N19" s="9" t="s">
        <v>74</v>
      </c>
      <c r="O19" s="9" t="s">
        <v>88</v>
      </c>
      <c r="P19" s="9" t="s">
        <v>89</v>
      </c>
      <c r="Q19" s="9" t="s">
        <v>90</v>
      </c>
    </row>
    <row r="20" customFormat="false" ht="23.25" hidden="false" customHeight="true" outlineLevel="0" collapsed="false">
      <c r="A20" s="8" t="s">
        <v>61</v>
      </c>
      <c r="B20" s="9"/>
      <c r="C20" s="9" t="s">
        <v>157</v>
      </c>
      <c r="D20" s="10" t="s">
        <v>82</v>
      </c>
      <c r="E20" s="9" t="s">
        <v>65</v>
      </c>
      <c r="F20" s="9" t="s">
        <v>65</v>
      </c>
      <c r="G20" s="10" t="s">
        <v>83</v>
      </c>
      <c r="H20" s="10" t="s">
        <v>84</v>
      </c>
      <c r="I20" s="9" t="s">
        <v>69</v>
      </c>
      <c r="J20" s="10" t="s">
        <v>85</v>
      </c>
      <c r="K20" s="10" t="s">
        <v>86</v>
      </c>
      <c r="L20" s="10" t="s">
        <v>158</v>
      </c>
      <c r="M20" s="10" t="s">
        <v>73</v>
      </c>
      <c r="N20" s="9" t="s">
        <v>74</v>
      </c>
      <c r="O20" s="9" t="s">
        <v>155</v>
      </c>
      <c r="P20" s="9" t="s">
        <v>89</v>
      </c>
      <c r="Q20" s="9" t="s">
        <v>90</v>
      </c>
    </row>
    <row r="21" customFormat="false" ht="23.25" hidden="false" customHeight="true" outlineLevel="0" collapsed="false">
      <c r="A21" s="8" t="s">
        <v>61</v>
      </c>
      <c r="B21" s="9"/>
      <c r="C21" s="9" t="s">
        <v>159</v>
      </c>
      <c r="D21" s="10" t="s">
        <v>82</v>
      </c>
      <c r="E21" s="9" t="s">
        <v>65</v>
      </c>
      <c r="F21" s="9" t="s">
        <v>65</v>
      </c>
      <c r="G21" s="10" t="s">
        <v>83</v>
      </c>
      <c r="H21" s="10" t="s">
        <v>84</v>
      </c>
      <c r="I21" s="9" t="s">
        <v>69</v>
      </c>
      <c r="J21" s="10" t="s">
        <v>85</v>
      </c>
      <c r="K21" s="10" t="s">
        <v>86</v>
      </c>
      <c r="L21" s="10" t="s">
        <v>158</v>
      </c>
      <c r="M21" s="10" t="s">
        <v>79</v>
      </c>
      <c r="N21" s="9" t="s">
        <v>74</v>
      </c>
      <c r="O21" s="9" t="s">
        <v>88</v>
      </c>
      <c r="P21" s="9" t="s">
        <v>89</v>
      </c>
      <c r="Q21" s="9" t="s">
        <v>90</v>
      </c>
    </row>
    <row r="22" customFormat="false" ht="23.25" hidden="false" customHeight="true" outlineLevel="0" collapsed="false">
      <c r="A22" s="8" t="s">
        <v>61</v>
      </c>
      <c r="B22" s="9"/>
      <c r="C22" s="9" t="s">
        <v>160</v>
      </c>
      <c r="D22" s="10" t="s">
        <v>82</v>
      </c>
      <c r="E22" s="9" t="s">
        <v>65</v>
      </c>
      <c r="F22" s="9" t="s">
        <v>65</v>
      </c>
      <c r="G22" s="10" t="s">
        <v>83</v>
      </c>
      <c r="H22" s="10" t="s">
        <v>84</v>
      </c>
      <c r="I22" s="9" t="s">
        <v>69</v>
      </c>
      <c r="J22" s="10" t="s">
        <v>85</v>
      </c>
      <c r="K22" s="10" t="s">
        <v>86</v>
      </c>
      <c r="L22" s="10" t="s">
        <v>87</v>
      </c>
      <c r="M22" s="10" t="s">
        <v>73</v>
      </c>
      <c r="N22" s="9" t="s">
        <v>74</v>
      </c>
      <c r="O22" s="9" t="s">
        <v>155</v>
      </c>
      <c r="P22" s="9" t="s">
        <v>89</v>
      </c>
      <c r="Q22" s="9" t="s">
        <v>90</v>
      </c>
    </row>
    <row r="23" customFormat="false" ht="23.25" hidden="false" customHeight="true" outlineLevel="0" collapsed="false">
      <c r="A23" s="8" t="s">
        <v>61</v>
      </c>
      <c r="B23" s="9"/>
      <c r="C23" s="9" t="s">
        <v>161</v>
      </c>
      <c r="D23" s="10" t="s">
        <v>92</v>
      </c>
      <c r="E23" s="9" t="s">
        <v>65</v>
      </c>
      <c r="F23" s="9" t="s">
        <v>65</v>
      </c>
      <c r="G23" s="10" t="s">
        <v>93</v>
      </c>
      <c r="H23" s="10" t="s">
        <v>94</v>
      </c>
      <c r="I23" s="9" t="s">
        <v>69</v>
      </c>
      <c r="J23" s="10" t="s">
        <v>85</v>
      </c>
      <c r="K23" s="10" t="s">
        <v>86</v>
      </c>
      <c r="L23" s="10" t="s">
        <v>162</v>
      </c>
      <c r="M23" s="10" t="s">
        <v>96</v>
      </c>
      <c r="N23" s="9" t="s">
        <v>97</v>
      </c>
      <c r="O23" s="9" t="s">
        <v>98</v>
      </c>
      <c r="P23" s="9" t="s">
        <v>89</v>
      </c>
      <c r="Q23" s="9" t="s">
        <v>90</v>
      </c>
    </row>
    <row r="24" customFormat="false" ht="23.25" hidden="false" customHeight="true" outlineLevel="0" collapsed="false">
      <c r="A24" s="8" t="s">
        <v>61</v>
      </c>
      <c r="B24" s="9"/>
      <c r="C24" s="9" t="s">
        <v>163</v>
      </c>
      <c r="D24" s="10" t="s">
        <v>92</v>
      </c>
      <c r="E24" s="9" t="s">
        <v>65</v>
      </c>
      <c r="F24" s="9" t="s">
        <v>65</v>
      </c>
      <c r="G24" s="10" t="s">
        <v>93</v>
      </c>
      <c r="H24" s="10" t="s">
        <v>94</v>
      </c>
      <c r="I24" s="9" t="s">
        <v>69</v>
      </c>
      <c r="J24" s="10" t="s">
        <v>85</v>
      </c>
      <c r="K24" s="10" t="s">
        <v>86</v>
      </c>
      <c r="L24" s="10" t="s">
        <v>164</v>
      </c>
      <c r="M24" s="10" t="s">
        <v>96</v>
      </c>
      <c r="N24" s="9" t="s">
        <v>97</v>
      </c>
      <c r="O24" s="9" t="s">
        <v>98</v>
      </c>
      <c r="P24" s="9" t="s">
        <v>89</v>
      </c>
      <c r="Q24" s="9" t="s">
        <v>90</v>
      </c>
    </row>
    <row r="25" customFormat="false" ht="34.5" hidden="false" customHeight="true" outlineLevel="0" collapsed="false">
      <c r="A25" s="8" t="s">
        <v>61</v>
      </c>
      <c r="B25" s="9"/>
      <c r="C25" s="9" t="s">
        <v>165</v>
      </c>
      <c r="D25" s="10" t="s">
        <v>100</v>
      </c>
      <c r="E25" s="9" t="s">
        <v>66</v>
      </c>
      <c r="F25" s="9" t="s">
        <v>101</v>
      </c>
      <c r="G25" s="10" t="s">
        <v>102</v>
      </c>
      <c r="H25" s="10" t="s">
        <v>103</v>
      </c>
      <c r="I25" s="9" t="s">
        <v>69</v>
      </c>
      <c r="J25" s="10" t="s">
        <v>70</v>
      </c>
      <c r="K25" s="10" t="s">
        <v>71</v>
      </c>
      <c r="L25" s="10" t="s">
        <v>166</v>
      </c>
      <c r="M25" s="10" t="s">
        <v>79</v>
      </c>
      <c r="N25" s="9" t="s">
        <v>74</v>
      </c>
      <c r="O25" s="9" t="s">
        <v>105</v>
      </c>
      <c r="P25" s="9" t="s">
        <v>76</v>
      </c>
      <c r="Q25" s="9" t="s">
        <v>77</v>
      </c>
    </row>
    <row r="26" customFormat="false" ht="34.5" hidden="false" customHeight="true" outlineLevel="0" collapsed="false">
      <c r="A26" s="8" t="s">
        <v>61</v>
      </c>
      <c r="B26" s="9"/>
      <c r="C26" s="9" t="s">
        <v>167</v>
      </c>
      <c r="D26" s="10" t="s">
        <v>100</v>
      </c>
      <c r="E26" s="9" t="s">
        <v>66</v>
      </c>
      <c r="F26" s="9" t="s">
        <v>101</v>
      </c>
      <c r="G26" s="10" t="s">
        <v>102</v>
      </c>
      <c r="H26" s="10" t="s">
        <v>103</v>
      </c>
      <c r="I26" s="9" t="s">
        <v>69</v>
      </c>
      <c r="J26" s="10" t="s">
        <v>70</v>
      </c>
      <c r="K26" s="10" t="s">
        <v>71</v>
      </c>
      <c r="L26" s="10" t="s">
        <v>168</v>
      </c>
      <c r="M26" s="10" t="s">
        <v>79</v>
      </c>
      <c r="N26" s="9" t="s">
        <v>74</v>
      </c>
      <c r="O26" s="9" t="s">
        <v>105</v>
      </c>
      <c r="P26" s="9" t="s">
        <v>76</v>
      </c>
      <c r="Q26" s="9" t="s">
        <v>77</v>
      </c>
    </row>
    <row r="27" customFormat="false" ht="23.25" hidden="false" customHeight="true" outlineLevel="0" collapsed="false">
      <c r="A27" s="8" t="s">
        <v>61</v>
      </c>
      <c r="B27" s="9"/>
      <c r="C27" s="9" t="s">
        <v>169</v>
      </c>
      <c r="D27" s="10" t="s">
        <v>107</v>
      </c>
      <c r="E27" s="9" t="s">
        <v>65</v>
      </c>
      <c r="F27" s="9" t="s">
        <v>66</v>
      </c>
      <c r="G27" s="10" t="s">
        <v>108</v>
      </c>
      <c r="H27" s="10" t="s">
        <v>109</v>
      </c>
      <c r="I27" s="9" t="s">
        <v>69</v>
      </c>
      <c r="J27" s="10" t="s">
        <v>85</v>
      </c>
      <c r="K27" s="10" t="s">
        <v>86</v>
      </c>
      <c r="L27" s="10" t="s">
        <v>170</v>
      </c>
      <c r="M27" s="10" t="s">
        <v>79</v>
      </c>
      <c r="N27" s="9" t="s">
        <v>74</v>
      </c>
      <c r="O27" s="9" t="s">
        <v>111</v>
      </c>
      <c r="P27" s="9" t="s">
        <v>89</v>
      </c>
      <c r="Q27" s="9" t="s">
        <v>90</v>
      </c>
    </row>
    <row r="28" customFormat="false" ht="23.25" hidden="false" customHeight="true" outlineLevel="0" collapsed="false">
      <c r="A28" s="8" t="s">
        <v>61</v>
      </c>
      <c r="B28" s="9"/>
      <c r="C28" s="9" t="s">
        <v>171</v>
      </c>
      <c r="D28" s="10" t="s">
        <v>107</v>
      </c>
      <c r="E28" s="9" t="s">
        <v>65</v>
      </c>
      <c r="F28" s="9" t="s">
        <v>66</v>
      </c>
      <c r="G28" s="10" t="s">
        <v>108</v>
      </c>
      <c r="H28" s="10" t="s">
        <v>109</v>
      </c>
      <c r="I28" s="9" t="s">
        <v>69</v>
      </c>
      <c r="J28" s="10" t="s">
        <v>85</v>
      </c>
      <c r="K28" s="10" t="s">
        <v>86</v>
      </c>
      <c r="L28" s="10" t="s">
        <v>172</v>
      </c>
      <c r="M28" s="10" t="s">
        <v>79</v>
      </c>
      <c r="N28" s="9" t="s">
        <v>74</v>
      </c>
      <c r="O28" s="9" t="s">
        <v>111</v>
      </c>
      <c r="P28" s="9" t="s">
        <v>89</v>
      </c>
      <c r="Q28" s="9" t="s">
        <v>90</v>
      </c>
    </row>
    <row r="29" customFormat="false" ht="34.5" hidden="false" customHeight="true" outlineLevel="0" collapsed="false">
      <c r="A29" s="8" t="s">
        <v>61</v>
      </c>
      <c r="B29" s="9"/>
      <c r="C29" s="9" t="s">
        <v>173</v>
      </c>
      <c r="D29" s="10" t="s">
        <v>113</v>
      </c>
      <c r="E29" s="9" t="s">
        <v>65</v>
      </c>
      <c r="F29" s="9" t="s">
        <v>66</v>
      </c>
      <c r="G29" s="10" t="s">
        <v>114</v>
      </c>
      <c r="H29" s="10" t="s">
        <v>115</v>
      </c>
      <c r="I29" s="9" t="s">
        <v>69</v>
      </c>
      <c r="J29" s="10" t="s">
        <v>116</v>
      </c>
      <c r="K29" s="10" t="s">
        <v>71</v>
      </c>
      <c r="L29" s="10" t="s">
        <v>174</v>
      </c>
      <c r="M29" s="10" t="s">
        <v>79</v>
      </c>
      <c r="N29" s="9" t="s">
        <v>74</v>
      </c>
      <c r="O29" s="9" t="s">
        <v>118</v>
      </c>
      <c r="P29" s="9" t="s">
        <v>76</v>
      </c>
      <c r="Q29" s="9" t="s">
        <v>77</v>
      </c>
    </row>
    <row r="30" customFormat="false" ht="34.5" hidden="false" customHeight="true" outlineLevel="0" collapsed="false">
      <c r="A30" s="8" t="s">
        <v>61</v>
      </c>
      <c r="B30" s="9"/>
      <c r="C30" s="9" t="s">
        <v>175</v>
      </c>
      <c r="D30" s="10" t="s">
        <v>113</v>
      </c>
      <c r="E30" s="9" t="s">
        <v>65</v>
      </c>
      <c r="F30" s="9" t="s">
        <v>66</v>
      </c>
      <c r="G30" s="10" t="s">
        <v>114</v>
      </c>
      <c r="H30" s="10" t="s">
        <v>115</v>
      </c>
      <c r="I30" s="9" t="s">
        <v>69</v>
      </c>
      <c r="J30" s="10" t="s">
        <v>116</v>
      </c>
      <c r="K30" s="10" t="s">
        <v>71</v>
      </c>
      <c r="L30" s="10" t="s">
        <v>176</v>
      </c>
      <c r="M30" s="10" t="s">
        <v>79</v>
      </c>
      <c r="N30" s="9" t="s">
        <v>74</v>
      </c>
      <c r="O30" s="9" t="s">
        <v>118</v>
      </c>
      <c r="P30" s="9" t="s">
        <v>76</v>
      </c>
      <c r="Q30" s="9" t="s">
        <v>77</v>
      </c>
    </row>
    <row r="31" customFormat="false" ht="23.25" hidden="false" customHeight="true" outlineLevel="0" collapsed="false">
      <c r="A31" s="8" t="s">
        <v>61</v>
      </c>
      <c r="B31" s="9"/>
      <c r="C31" s="9" t="s">
        <v>177</v>
      </c>
      <c r="D31" s="10" t="s">
        <v>120</v>
      </c>
      <c r="E31" s="9" t="s">
        <v>65</v>
      </c>
      <c r="F31" s="9" t="s">
        <v>65</v>
      </c>
      <c r="G31" s="10" t="s">
        <v>121</v>
      </c>
      <c r="H31" s="10" t="s">
        <v>122</v>
      </c>
      <c r="I31" s="9" t="s">
        <v>69</v>
      </c>
      <c r="J31" s="10" t="s">
        <v>85</v>
      </c>
      <c r="K31" s="10" t="s">
        <v>86</v>
      </c>
      <c r="L31" s="10" t="s">
        <v>123</v>
      </c>
      <c r="M31" s="10" t="s">
        <v>79</v>
      </c>
      <c r="N31" s="9" t="s">
        <v>74</v>
      </c>
      <c r="O31" s="9" t="s">
        <v>178</v>
      </c>
      <c r="P31" s="9" t="s">
        <v>89</v>
      </c>
      <c r="Q31" s="9" t="s">
        <v>90</v>
      </c>
    </row>
    <row r="32" customFormat="false" ht="23.25" hidden="false" customHeight="true" outlineLevel="0" collapsed="false">
      <c r="A32" s="8" t="s">
        <v>61</v>
      </c>
      <c r="B32" s="9"/>
      <c r="C32" s="9" t="s">
        <v>179</v>
      </c>
      <c r="D32" s="10" t="s">
        <v>120</v>
      </c>
      <c r="E32" s="9" t="s">
        <v>65</v>
      </c>
      <c r="F32" s="9" t="s">
        <v>65</v>
      </c>
      <c r="G32" s="10" t="s">
        <v>121</v>
      </c>
      <c r="H32" s="10" t="s">
        <v>122</v>
      </c>
      <c r="I32" s="9" t="s">
        <v>69</v>
      </c>
      <c r="J32" s="10" t="s">
        <v>85</v>
      </c>
      <c r="K32" s="10" t="s">
        <v>86</v>
      </c>
      <c r="L32" s="10" t="s">
        <v>180</v>
      </c>
      <c r="M32" s="10" t="s">
        <v>73</v>
      </c>
      <c r="N32" s="9" t="s">
        <v>74</v>
      </c>
      <c r="O32" s="9" t="s">
        <v>124</v>
      </c>
      <c r="P32" s="9" t="s">
        <v>89</v>
      </c>
      <c r="Q32" s="9" t="s">
        <v>90</v>
      </c>
    </row>
    <row r="33" customFormat="false" ht="23.25" hidden="false" customHeight="true" outlineLevel="0" collapsed="false">
      <c r="A33" s="8" t="s">
        <v>61</v>
      </c>
      <c r="B33" s="9"/>
      <c r="C33" s="9" t="s">
        <v>181</v>
      </c>
      <c r="D33" s="10" t="s">
        <v>120</v>
      </c>
      <c r="E33" s="9" t="s">
        <v>65</v>
      </c>
      <c r="F33" s="9" t="s">
        <v>65</v>
      </c>
      <c r="G33" s="10" t="s">
        <v>121</v>
      </c>
      <c r="H33" s="10" t="s">
        <v>122</v>
      </c>
      <c r="I33" s="9" t="s">
        <v>69</v>
      </c>
      <c r="J33" s="10" t="s">
        <v>85</v>
      </c>
      <c r="K33" s="10" t="s">
        <v>86</v>
      </c>
      <c r="L33" s="10" t="s">
        <v>180</v>
      </c>
      <c r="M33" s="10" t="s">
        <v>79</v>
      </c>
      <c r="N33" s="9" t="s">
        <v>74</v>
      </c>
      <c r="O33" s="9" t="s">
        <v>178</v>
      </c>
      <c r="P33" s="9" t="s">
        <v>89</v>
      </c>
      <c r="Q33" s="9" t="s">
        <v>90</v>
      </c>
    </row>
    <row r="34" customFormat="false" ht="23.25" hidden="false" customHeight="true" outlineLevel="0" collapsed="false">
      <c r="A34" s="8" t="s">
        <v>61</v>
      </c>
      <c r="B34" s="9"/>
      <c r="C34" s="9" t="s">
        <v>182</v>
      </c>
      <c r="D34" s="10" t="s">
        <v>120</v>
      </c>
      <c r="E34" s="9" t="s">
        <v>65</v>
      </c>
      <c r="F34" s="9" t="s">
        <v>65</v>
      </c>
      <c r="G34" s="10" t="s">
        <v>121</v>
      </c>
      <c r="H34" s="10" t="s">
        <v>122</v>
      </c>
      <c r="I34" s="9" t="s">
        <v>69</v>
      </c>
      <c r="J34" s="10" t="s">
        <v>85</v>
      </c>
      <c r="K34" s="10" t="s">
        <v>86</v>
      </c>
      <c r="L34" s="10" t="s">
        <v>126</v>
      </c>
      <c r="M34" s="10" t="s">
        <v>79</v>
      </c>
      <c r="N34" s="9" t="s">
        <v>74</v>
      </c>
      <c r="O34" s="9" t="s">
        <v>178</v>
      </c>
      <c r="P34" s="9" t="s">
        <v>89</v>
      </c>
      <c r="Q34" s="9" t="s">
        <v>90</v>
      </c>
    </row>
    <row r="35" customFormat="false" ht="23.25" hidden="false" customHeight="true" outlineLevel="0" collapsed="false">
      <c r="A35" s="8" t="s">
        <v>61</v>
      </c>
      <c r="B35" s="9"/>
      <c r="C35" s="9" t="s">
        <v>183</v>
      </c>
      <c r="D35" s="10" t="s">
        <v>128</v>
      </c>
      <c r="E35" s="9" t="s">
        <v>65</v>
      </c>
      <c r="F35" s="9" t="s">
        <v>65</v>
      </c>
      <c r="G35" s="10" t="s">
        <v>129</v>
      </c>
      <c r="H35" s="10" t="s">
        <v>130</v>
      </c>
      <c r="I35" s="9" t="s">
        <v>69</v>
      </c>
      <c r="J35" s="10" t="s">
        <v>70</v>
      </c>
      <c r="K35" s="10" t="s">
        <v>131</v>
      </c>
      <c r="L35" s="10" t="s">
        <v>184</v>
      </c>
      <c r="M35" s="10" t="s">
        <v>73</v>
      </c>
      <c r="N35" s="9" t="s">
        <v>74</v>
      </c>
      <c r="O35" s="9" t="s">
        <v>133</v>
      </c>
      <c r="P35" s="9" t="s">
        <v>76</v>
      </c>
      <c r="Q35" s="9" t="s">
        <v>77</v>
      </c>
    </row>
    <row r="36" customFormat="false" ht="23.25" hidden="false" customHeight="true" outlineLevel="0" collapsed="false">
      <c r="A36" s="8" t="s">
        <v>61</v>
      </c>
      <c r="B36" s="9"/>
      <c r="C36" s="9" t="s">
        <v>185</v>
      </c>
      <c r="D36" s="10" t="s">
        <v>128</v>
      </c>
      <c r="E36" s="9" t="s">
        <v>65</v>
      </c>
      <c r="F36" s="9" t="s">
        <v>65</v>
      </c>
      <c r="G36" s="10" t="s">
        <v>129</v>
      </c>
      <c r="H36" s="10" t="s">
        <v>130</v>
      </c>
      <c r="I36" s="9" t="s">
        <v>69</v>
      </c>
      <c r="J36" s="10" t="s">
        <v>70</v>
      </c>
      <c r="K36" s="10" t="s">
        <v>131</v>
      </c>
      <c r="L36" s="10" t="s">
        <v>184</v>
      </c>
      <c r="M36" s="10" t="s">
        <v>79</v>
      </c>
      <c r="N36" s="9" t="s">
        <v>74</v>
      </c>
      <c r="O36" s="9" t="s">
        <v>186</v>
      </c>
      <c r="P36" s="9" t="s">
        <v>76</v>
      </c>
      <c r="Q36" s="9" t="s">
        <v>77</v>
      </c>
    </row>
    <row r="37" customFormat="false" ht="23.25" hidden="false" customHeight="true" outlineLevel="0" collapsed="false">
      <c r="A37" s="8" t="s">
        <v>61</v>
      </c>
      <c r="B37" s="9"/>
      <c r="C37" s="9" t="s">
        <v>187</v>
      </c>
      <c r="D37" s="10" t="s">
        <v>128</v>
      </c>
      <c r="E37" s="9" t="s">
        <v>65</v>
      </c>
      <c r="F37" s="9" t="s">
        <v>65</v>
      </c>
      <c r="G37" s="10" t="s">
        <v>129</v>
      </c>
      <c r="H37" s="10" t="s">
        <v>130</v>
      </c>
      <c r="I37" s="9" t="s">
        <v>69</v>
      </c>
      <c r="J37" s="10" t="s">
        <v>70</v>
      </c>
      <c r="K37" s="10" t="s">
        <v>131</v>
      </c>
      <c r="L37" s="10" t="s">
        <v>132</v>
      </c>
      <c r="M37" s="10" t="s">
        <v>79</v>
      </c>
      <c r="N37" s="9" t="s">
        <v>74</v>
      </c>
      <c r="O37" s="9" t="s">
        <v>186</v>
      </c>
      <c r="P37" s="9" t="s">
        <v>76</v>
      </c>
      <c r="Q37" s="9" t="s">
        <v>77</v>
      </c>
    </row>
    <row r="38" customFormat="false" ht="23.25" hidden="false" customHeight="true" outlineLevel="0" collapsed="false">
      <c r="A38" s="8" t="s">
        <v>61</v>
      </c>
      <c r="B38" s="9"/>
      <c r="C38" s="9" t="s">
        <v>188</v>
      </c>
      <c r="D38" s="10" t="s">
        <v>128</v>
      </c>
      <c r="E38" s="9" t="s">
        <v>65</v>
      </c>
      <c r="F38" s="9" t="s">
        <v>65</v>
      </c>
      <c r="G38" s="10" t="s">
        <v>129</v>
      </c>
      <c r="H38" s="10" t="s">
        <v>130</v>
      </c>
      <c r="I38" s="9" t="s">
        <v>69</v>
      </c>
      <c r="J38" s="10" t="s">
        <v>70</v>
      </c>
      <c r="K38" s="10" t="s">
        <v>131</v>
      </c>
      <c r="L38" s="10" t="s">
        <v>189</v>
      </c>
      <c r="M38" s="10" t="s">
        <v>73</v>
      </c>
      <c r="N38" s="9" t="s">
        <v>74</v>
      </c>
      <c r="O38" s="9" t="s">
        <v>133</v>
      </c>
      <c r="P38" s="9" t="s">
        <v>76</v>
      </c>
      <c r="Q38" s="9" t="s">
        <v>77</v>
      </c>
    </row>
    <row r="39" customFormat="false" ht="23.25" hidden="false" customHeight="true" outlineLevel="0" collapsed="false">
      <c r="A39" s="8" t="s">
        <v>61</v>
      </c>
      <c r="B39" s="9"/>
      <c r="C39" s="9" t="s">
        <v>190</v>
      </c>
      <c r="D39" s="10" t="s">
        <v>128</v>
      </c>
      <c r="E39" s="9" t="s">
        <v>65</v>
      </c>
      <c r="F39" s="9" t="s">
        <v>65</v>
      </c>
      <c r="G39" s="10" t="s">
        <v>129</v>
      </c>
      <c r="H39" s="10" t="s">
        <v>130</v>
      </c>
      <c r="I39" s="9" t="s">
        <v>69</v>
      </c>
      <c r="J39" s="10" t="s">
        <v>70</v>
      </c>
      <c r="K39" s="10" t="s">
        <v>131</v>
      </c>
      <c r="L39" s="10" t="s">
        <v>189</v>
      </c>
      <c r="M39" s="10" t="s">
        <v>79</v>
      </c>
      <c r="N39" s="9" t="s">
        <v>74</v>
      </c>
      <c r="O39" s="9" t="s">
        <v>186</v>
      </c>
      <c r="P39" s="9" t="s">
        <v>76</v>
      </c>
      <c r="Q39" s="9" t="s">
        <v>77</v>
      </c>
    </row>
    <row r="40" customFormat="false" ht="23.25" hidden="false" customHeight="true" outlineLevel="0" collapsed="false">
      <c r="A40" s="8" t="s">
        <v>61</v>
      </c>
      <c r="B40" s="9"/>
      <c r="C40" s="9" t="s">
        <v>191</v>
      </c>
      <c r="D40" s="10" t="s">
        <v>135</v>
      </c>
      <c r="E40" s="9" t="s">
        <v>65</v>
      </c>
      <c r="F40" s="9" t="s">
        <v>65</v>
      </c>
      <c r="G40" s="10" t="s">
        <v>136</v>
      </c>
      <c r="H40" s="10" t="s">
        <v>137</v>
      </c>
      <c r="I40" s="9" t="s">
        <v>69</v>
      </c>
      <c r="J40" s="10" t="s">
        <v>85</v>
      </c>
      <c r="K40" s="10" t="s">
        <v>86</v>
      </c>
      <c r="L40" s="10" t="s">
        <v>192</v>
      </c>
      <c r="M40" s="10" t="s">
        <v>73</v>
      </c>
      <c r="N40" s="9" t="s">
        <v>74</v>
      </c>
      <c r="O40" s="9" t="s">
        <v>193</v>
      </c>
      <c r="P40" s="9" t="s">
        <v>89</v>
      </c>
      <c r="Q40" s="9" t="s">
        <v>140</v>
      </c>
    </row>
    <row r="41" customFormat="false" ht="23.25" hidden="false" customHeight="true" outlineLevel="0" collapsed="false">
      <c r="A41" s="8" t="s">
        <v>61</v>
      </c>
      <c r="B41" s="9"/>
      <c r="C41" s="9" t="s">
        <v>194</v>
      </c>
      <c r="D41" s="10" t="s">
        <v>135</v>
      </c>
      <c r="E41" s="9" t="s">
        <v>65</v>
      </c>
      <c r="F41" s="9" t="s">
        <v>65</v>
      </c>
      <c r="G41" s="10" t="s">
        <v>136</v>
      </c>
      <c r="H41" s="10" t="s">
        <v>137</v>
      </c>
      <c r="I41" s="9" t="s">
        <v>69</v>
      </c>
      <c r="J41" s="10" t="s">
        <v>85</v>
      </c>
      <c r="K41" s="10" t="s">
        <v>86</v>
      </c>
      <c r="L41" s="10" t="s">
        <v>192</v>
      </c>
      <c r="M41" s="10" t="s">
        <v>79</v>
      </c>
      <c r="N41" s="9" t="s">
        <v>74</v>
      </c>
      <c r="O41" s="9" t="s">
        <v>139</v>
      </c>
      <c r="P41" s="9" t="s">
        <v>89</v>
      </c>
      <c r="Q41" s="9" t="s">
        <v>140</v>
      </c>
    </row>
    <row r="42" customFormat="false" ht="23.25" hidden="false" customHeight="true" outlineLevel="0" collapsed="false">
      <c r="A42" s="8" t="s">
        <v>61</v>
      </c>
      <c r="B42" s="9"/>
      <c r="C42" s="9" t="s">
        <v>195</v>
      </c>
      <c r="D42" s="10" t="s">
        <v>135</v>
      </c>
      <c r="E42" s="9" t="s">
        <v>65</v>
      </c>
      <c r="F42" s="9" t="s">
        <v>65</v>
      </c>
      <c r="G42" s="10" t="s">
        <v>136</v>
      </c>
      <c r="H42" s="10" t="s">
        <v>137</v>
      </c>
      <c r="I42" s="9" t="s">
        <v>69</v>
      </c>
      <c r="J42" s="10" t="s">
        <v>85</v>
      </c>
      <c r="K42" s="10" t="s">
        <v>86</v>
      </c>
      <c r="L42" s="10" t="s">
        <v>138</v>
      </c>
      <c r="M42" s="10" t="s">
        <v>73</v>
      </c>
      <c r="N42" s="9" t="s">
        <v>74</v>
      </c>
      <c r="O42" s="9" t="s">
        <v>193</v>
      </c>
      <c r="P42" s="9" t="s">
        <v>89</v>
      </c>
      <c r="Q42" s="9" t="s">
        <v>140</v>
      </c>
    </row>
    <row r="43" customFormat="false" ht="23.25" hidden="false" customHeight="true" outlineLevel="0" collapsed="false">
      <c r="A43" s="8" t="s">
        <v>61</v>
      </c>
      <c r="B43" s="9"/>
      <c r="C43" s="9" t="s">
        <v>196</v>
      </c>
      <c r="D43" s="10" t="s">
        <v>135</v>
      </c>
      <c r="E43" s="9" t="s">
        <v>65</v>
      </c>
      <c r="F43" s="9" t="s">
        <v>65</v>
      </c>
      <c r="G43" s="10" t="s">
        <v>136</v>
      </c>
      <c r="H43" s="10" t="s">
        <v>137</v>
      </c>
      <c r="I43" s="9" t="s">
        <v>69</v>
      </c>
      <c r="J43" s="10" t="s">
        <v>85</v>
      </c>
      <c r="K43" s="10" t="s">
        <v>86</v>
      </c>
      <c r="L43" s="10" t="s">
        <v>197</v>
      </c>
      <c r="M43" s="10" t="s">
        <v>73</v>
      </c>
      <c r="N43" s="9" t="s">
        <v>74</v>
      </c>
      <c r="O43" s="9" t="s">
        <v>193</v>
      </c>
      <c r="P43" s="9" t="s">
        <v>89</v>
      </c>
      <c r="Q43" s="9" t="s">
        <v>140</v>
      </c>
    </row>
    <row r="44" customFormat="false" ht="23.25" hidden="false" customHeight="true" outlineLevel="0" collapsed="false">
      <c r="A44" s="8" t="s">
        <v>61</v>
      </c>
      <c r="B44" s="9"/>
      <c r="C44" s="9" t="s">
        <v>198</v>
      </c>
      <c r="D44" s="10" t="s">
        <v>135</v>
      </c>
      <c r="E44" s="9" t="s">
        <v>65</v>
      </c>
      <c r="F44" s="9" t="s">
        <v>65</v>
      </c>
      <c r="G44" s="10" t="s">
        <v>136</v>
      </c>
      <c r="H44" s="10" t="s">
        <v>137</v>
      </c>
      <c r="I44" s="9" t="s">
        <v>69</v>
      </c>
      <c r="J44" s="10" t="s">
        <v>85</v>
      </c>
      <c r="K44" s="10" t="s">
        <v>86</v>
      </c>
      <c r="L44" s="10" t="s">
        <v>197</v>
      </c>
      <c r="M44" s="10" t="s">
        <v>79</v>
      </c>
      <c r="N44" s="9" t="s">
        <v>74</v>
      </c>
      <c r="O44" s="9" t="s">
        <v>139</v>
      </c>
      <c r="P44" s="9" t="s">
        <v>89</v>
      </c>
      <c r="Q44" s="9" t="s">
        <v>140</v>
      </c>
    </row>
    <row r="45" customFormat="false" ht="23.25" hidden="false" customHeight="true" outlineLevel="0" collapsed="false">
      <c r="A45" s="8" t="s">
        <v>61</v>
      </c>
      <c r="B45" s="9"/>
      <c r="C45" s="9" t="s">
        <v>199</v>
      </c>
      <c r="D45" s="10" t="s">
        <v>142</v>
      </c>
      <c r="E45" s="9" t="s">
        <v>65</v>
      </c>
      <c r="F45" s="9" t="s">
        <v>65</v>
      </c>
      <c r="G45" s="10" t="s">
        <v>143</v>
      </c>
      <c r="H45" s="10" t="s">
        <v>144</v>
      </c>
      <c r="I45" s="9" t="s">
        <v>69</v>
      </c>
      <c r="J45" s="10" t="s">
        <v>85</v>
      </c>
      <c r="K45" s="10" t="s">
        <v>86</v>
      </c>
      <c r="L45" s="10" t="s">
        <v>145</v>
      </c>
      <c r="M45" s="10" t="s">
        <v>79</v>
      </c>
      <c r="N45" s="9" t="s">
        <v>74</v>
      </c>
      <c r="O45" s="9" t="s">
        <v>200</v>
      </c>
      <c r="P45" s="9" t="s">
        <v>89</v>
      </c>
      <c r="Q45" s="9" t="s">
        <v>90</v>
      </c>
    </row>
    <row r="46" customFormat="false" ht="23.25" hidden="false" customHeight="true" outlineLevel="0" collapsed="false">
      <c r="A46" s="8" t="s">
        <v>61</v>
      </c>
      <c r="B46" s="9"/>
      <c r="C46" s="9" t="s">
        <v>201</v>
      </c>
      <c r="D46" s="10" t="s">
        <v>142</v>
      </c>
      <c r="E46" s="9" t="s">
        <v>65</v>
      </c>
      <c r="F46" s="9" t="s">
        <v>65</v>
      </c>
      <c r="G46" s="10" t="s">
        <v>143</v>
      </c>
      <c r="H46" s="10" t="s">
        <v>144</v>
      </c>
      <c r="I46" s="9" t="s">
        <v>69</v>
      </c>
      <c r="J46" s="10" t="s">
        <v>85</v>
      </c>
      <c r="K46" s="10" t="s">
        <v>86</v>
      </c>
      <c r="L46" s="10" t="s">
        <v>202</v>
      </c>
      <c r="M46" s="10" t="s">
        <v>73</v>
      </c>
      <c r="N46" s="9" t="s">
        <v>74</v>
      </c>
      <c r="O46" s="9" t="s">
        <v>146</v>
      </c>
      <c r="P46" s="9" t="s">
        <v>89</v>
      </c>
      <c r="Q46" s="9" t="s">
        <v>90</v>
      </c>
    </row>
    <row r="47" customFormat="false" ht="23.25" hidden="false" customHeight="true" outlineLevel="0" collapsed="false">
      <c r="A47" s="8" t="s">
        <v>61</v>
      </c>
      <c r="B47" s="9"/>
      <c r="C47" s="9" t="s">
        <v>203</v>
      </c>
      <c r="D47" s="10" t="s">
        <v>142</v>
      </c>
      <c r="E47" s="9" t="s">
        <v>65</v>
      </c>
      <c r="F47" s="9" t="s">
        <v>65</v>
      </c>
      <c r="G47" s="10" t="s">
        <v>143</v>
      </c>
      <c r="H47" s="10" t="s">
        <v>144</v>
      </c>
      <c r="I47" s="9" t="s">
        <v>69</v>
      </c>
      <c r="J47" s="10" t="s">
        <v>85</v>
      </c>
      <c r="K47" s="10" t="s">
        <v>86</v>
      </c>
      <c r="L47" s="10" t="s">
        <v>202</v>
      </c>
      <c r="M47" s="10" t="s">
        <v>79</v>
      </c>
      <c r="N47" s="9" t="s">
        <v>74</v>
      </c>
      <c r="O47" s="9" t="s">
        <v>200</v>
      </c>
      <c r="P47" s="9" t="s">
        <v>89</v>
      </c>
      <c r="Q47" s="9" t="s">
        <v>90</v>
      </c>
    </row>
    <row r="48" customFormat="false" ht="23.25" hidden="false" customHeight="true" outlineLevel="0" collapsed="false">
      <c r="A48" s="8" t="s">
        <v>61</v>
      </c>
      <c r="B48" s="9"/>
      <c r="C48" s="9" t="s">
        <v>204</v>
      </c>
      <c r="D48" s="10" t="s">
        <v>142</v>
      </c>
      <c r="E48" s="9" t="s">
        <v>65</v>
      </c>
      <c r="F48" s="9" t="s">
        <v>65</v>
      </c>
      <c r="G48" s="10" t="s">
        <v>143</v>
      </c>
      <c r="H48" s="10" t="s">
        <v>144</v>
      </c>
      <c r="I48" s="9" t="s">
        <v>69</v>
      </c>
      <c r="J48" s="10" t="s">
        <v>85</v>
      </c>
      <c r="K48" s="10" t="s">
        <v>86</v>
      </c>
      <c r="L48" s="10" t="s">
        <v>205</v>
      </c>
      <c r="M48" s="10" t="s">
        <v>73</v>
      </c>
      <c r="N48" s="9" t="s">
        <v>74</v>
      </c>
      <c r="O48" s="9" t="s">
        <v>146</v>
      </c>
      <c r="P48" s="9" t="s">
        <v>89</v>
      </c>
      <c r="Q48" s="9" t="s">
        <v>90</v>
      </c>
    </row>
    <row r="49" customFormat="false" ht="23.25" hidden="false" customHeight="true" outlineLevel="0" collapsed="false">
      <c r="A49" s="8" t="s">
        <v>61</v>
      </c>
      <c r="B49" s="9"/>
      <c r="C49" s="9" t="s">
        <v>206</v>
      </c>
      <c r="D49" s="10" t="s">
        <v>142</v>
      </c>
      <c r="E49" s="9" t="s">
        <v>65</v>
      </c>
      <c r="F49" s="9" t="s">
        <v>65</v>
      </c>
      <c r="G49" s="10" t="s">
        <v>143</v>
      </c>
      <c r="H49" s="10" t="s">
        <v>144</v>
      </c>
      <c r="I49" s="9" t="s">
        <v>69</v>
      </c>
      <c r="J49" s="10" t="s">
        <v>85</v>
      </c>
      <c r="K49" s="10" t="s">
        <v>86</v>
      </c>
      <c r="L49" s="10" t="s">
        <v>205</v>
      </c>
      <c r="M49" s="10" t="s">
        <v>79</v>
      </c>
      <c r="N49" s="9" t="s">
        <v>74</v>
      </c>
      <c r="O49" s="9" t="s">
        <v>200</v>
      </c>
      <c r="P49" s="9" t="s">
        <v>89</v>
      </c>
      <c r="Q49" s="9" t="s">
        <v>90</v>
      </c>
    </row>
    <row r="50" customFormat="false" ht="34.5" hidden="false" customHeight="true" outlineLevel="0" collapsed="false">
      <c r="A50" s="11" t="s">
        <v>207</v>
      </c>
      <c r="B50" s="9" t="s">
        <v>62</v>
      </c>
      <c r="C50" s="9" t="s">
        <v>208</v>
      </c>
      <c r="D50" s="10" t="s">
        <v>209</v>
      </c>
      <c r="E50" s="9" t="s">
        <v>210</v>
      </c>
      <c r="F50" s="9" t="s">
        <v>210</v>
      </c>
      <c r="G50" s="10" t="s">
        <v>211</v>
      </c>
      <c r="H50" s="10" t="s">
        <v>212</v>
      </c>
      <c r="I50" s="9" t="s">
        <v>69</v>
      </c>
      <c r="J50" s="10" t="s">
        <v>85</v>
      </c>
      <c r="K50" s="10" t="s">
        <v>86</v>
      </c>
      <c r="L50" s="10" t="s">
        <v>213</v>
      </c>
      <c r="M50" s="10" t="s">
        <v>73</v>
      </c>
      <c r="N50" s="9" t="s">
        <v>74</v>
      </c>
      <c r="O50" s="9" t="s">
        <v>214</v>
      </c>
      <c r="P50" s="9" t="s">
        <v>89</v>
      </c>
      <c r="Q50" s="9" t="s">
        <v>90</v>
      </c>
    </row>
    <row r="51" customFormat="false" ht="34.5" hidden="false" customHeight="true" outlineLevel="0" collapsed="false">
      <c r="A51" s="11" t="s">
        <v>207</v>
      </c>
      <c r="B51" s="9" t="s">
        <v>62</v>
      </c>
      <c r="C51" s="9" t="s">
        <v>215</v>
      </c>
      <c r="D51" s="10" t="s">
        <v>216</v>
      </c>
      <c r="E51" s="9" t="s">
        <v>210</v>
      </c>
      <c r="F51" s="9" t="s">
        <v>210</v>
      </c>
      <c r="G51" s="10" t="s">
        <v>211</v>
      </c>
      <c r="H51" s="10" t="s">
        <v>212</v>
      </c>
      <c r="I51" s="9" t="s">
        <v>69</v>
      </c>
      <c r="J51" s="10" t="s">
        <v>70</v>
      </c>
      <c r="K51" s="10" t="s">
        <v>217</v>
      </c>
      <c r="L51" s="10" t="s">
        <v>218</v>
      </c>
      <c r="M51" s="10" t="s">
        <v>73</v>
      </c>
      <c r="N51" s="9" t="s">
        <v>74</v>
      </c>
      <c r="O51" s="9" t="s">
        <v>219</v>
      </c>
      <c r="P51" s="9" t="s">
        <v>76</v>
      </c>
      <c r="Q51" s="9" t="s">
        <v>77</v>
      </c>
    </row>
    <row r="52" customFormat="false" ht="23.25" hidden="false" customHeight="true" outlineLevel="0" collapsed="false">
      <c r="A52" s="11" t="s">
        <v>207</v>
      </c>
      <c r="B52" s="9" t="s">
        <v>62</v>
      </c>
      <c r="C52" s="9" t="s">
        <v>220</v>
      </c>
      <c r="D52" s="10" t="s">
        <v>221</v>
      </c>
      <c r="E52" s="9" t="s">
        <v>210</v>
      </c>
      <c r="F52" s="9" t="s">
        <v>210</v>
      </c>
      <c r="G52" s="10" t="s">
        <v>211</v>
      </c>
      <c r="H52" s="10" t="s">
        <v>212</v>
      </c>
      <c r="I52" s="9" t="s">
        <v>69</v>
      </c>
      <c r="J52" s="10" t="s">
        <v>85</v>
      </c>
      <c r="K52" s="10" t="s">
        <v>86</v>
      </c>
      <c r="L52" s="10" t="s">
        <v>222</v>
      </c>
      <c r="M52" s="10" t="s">
        <v>96</v>
      </c>
      <c r="N52" s="9" t="s">
        <v>97</v>
      </c>
      <c r="O52" s="9" t="s">
        <v>223</v>
      </c>
      <c r="P52" s="9" t="s">
        <v>89</v>
      </c>
      <c r="Q52" s="9" t="s">
        <v>90</v>
      </c>
    </row>
    <row r="53" customFormat="false" ht="23.25" hidden="false" customHeight="true" outlineLevel="0" collapsed="false">
      <c r="A53" s="11" t="s">
        <v>207</v>
      </c>
      <c r="B53" s="9" t="s">
        <v>62</v>
      </c>
      <c r="C53" s="9" t="s">
        <v>224</v>
      </c>
      <c r="D53" s="10" t="s">
        <v>225</v>
      </c>
      <c r="E53" s="9" t="s">
        <v>210</v>
      </c>
      <c r="F53" s="9" t="s">
        <v>210</v>
      </c>
      <c r="G53" s="10" t="s">
        <v>211</v>
      </c>
      <c r="H53" s="10" t="s">
        <v>212</v>
      </c>
      <c r="I53" s="9" t="s">
        <v>69</v>
      </c>
      <c r="J53" s="10" t="s">
        <v>85</v>
      </c>
      <c r="K53" s="10" t="s">
        <v>86</v>
      </c>
      <c r="L53" s="10" t="s">
        <v>226</v>
      </c>
      <c r="M53" s="10" t="s">
        <v>73</v>
      </c>
      <c r="N53" s="9" t="s">
        <v>74</v>
      </c>
      <c r="O53" s="9" t="s">
        <v>227</v>
      </c>
      <c r="P53" s="9" t="s">
        <v>89</v>
      </c>
      <c r="Q53" s="9" t="s">
        <v>90</v>
      </c>
    </row>
    <row r="54" customFormat="false" ht="23.25" hidden="false" customHeight="true" outlineLevel="0" collapsed="false">
      <c r="A54" s="11" t="s">
        <v>207</v>
      </c>
      <c r="B54" s="9"/>
      <c r="C54" s="9" t="s">
        <v>228</v>
      </c>
      <c r="D54" s="10" t="s">
        <v>209</v>
      </c>
      <c r="E54" s="9" t="s">
        <v>210</v>
      </c>
      <c r="F54" s="9" t="s">
        <v>210</v>
      </c>
      <c r="G54" s="10" t="s">
        <v>211</v>
      </c>
      <c r="H54" s="10" t="s">
        <v>212</v>
      </c>
      <c r="I54" s="9" t="s">
        <v>69</v>
      </c>
      <c r="J54" s="10" t="s">
        <v>85</v>
      </c>
      <c r="K54" s="10" t="s">
        <v>86</v>
      </c>
      <c r="L54" s="10" t="s">
        <v>229</v>
      </c>
      <c r="M54" s="10" t="s">
        <v>73</v>
      </c>
      <c r="N54" s="9" t="s">
        <v>74</v>
      </c>
      <c r="O54" s="9" t="s">
        <v>214</v>
      </c>
      <c r="P54" s="9" t="s">
        <v>89</v>
      </c>
      <c r="Q54" s="9" t="s">
        <v>90</v>
      </c>
    </row>
    <row r="55" customFormat="false" ht="23.25" hidden="false" customHeight="true" outlineLevel="0" collapsed="false">
      <c r="A55" s="11" t="s">
        <v>207</v>
      </c>
      <c r="B55" s="9"/>
      <c r="C55" s="9" t="s">
        <v>230</v>
      </c>
      <c r="D55" s="10" t="s">
        <v>209</v>
      </c>
      <c r="E55" s="9" t="s">
        <v>210</v>
      </c>
      <c r="F55" s="9" t="s">
        <v>210</v>
      </c>
      <c r="G55" s="10" t="s">
        <v>211</v>
      </c>
      <c r="H55" s="10" t="s">
        <v>212</v>
      </c>
      <c r="I55" s="9" t="s">
        <v>69</v>
      </c>
      <c r="J55" s="10" t="s">
        <v>85</v>
      </c>
      <c r="K55" s="10" t="s">
        <v>86</v>
      </c>
      <c r="L55" s="10" t="s">
        <v>229</v>
      </c>
      <c r="M55" s="10" t="s">
        <v>79</v>
      </c>
      <c r="N55" s="9" t="s">
        <v>74</v>
      </c>
      <c r="O55" s="9" t="s">
        <v>231</v>
      </c>
      <c r="P55" s="9" t="s">
        <v>89</v>
      </c>
      <c r="Q55" s="9" t="s">
        <v>90</v>
      </c>
    </row>
    <row r="56" customFormat="false" ht="34.5" hidden="false" customHeight="true" outlineLevel="0" collapsed="false">
      <c r="A56" s="11" t="s">
        <v>207</v>
      </c>
      <c r="B56" s="9"/>
      <c r="C56" s="9" t="s">
        <v>232</v>
      </c>
      <c r="D56" s="10" t="s">
        <v>209</v>
      </c>
      <c r="E56" s="9" t="s">
        <v>210</v>
      </c>
      <c r="F56" s="9" t="s">
        <v>210</v>
      </c>
      <c r="G56" s="10" t="s">
        <v>211</v>
      </c>
      <c r="H56" s="10" t="s">
        <v>212</v>
      </c>
      <c r="I56" s="9" t="s">
        <v>69</v>
      </c>
      <c r="J56" s="10" t="s">
        <v>85</v>
      </c>
      <c r="K56" s="10" t="s">
        <v>86</v>
      </c>
      <c r="L56" s="10" t="s">
        <v>213</v>
      </c>
      <c r="M56" s="10" t="s">
        <v>79</v>
      </c>
      <c r="N56" s="9" t="s">
        <v>74</v>
      </c>
      <c r="O56" s="9" t="s">
        <v>231</v>
      </c>
      <c r="P56" s="9" t="s">
        <v>89</v>
      </c>
      <c r="Q56" s="9" t="s">
        <v>90</v>
      </c>
    </row>
    <row r="57" customFormat="false" ht="23.25" hidden="false" customHeight="true" outlineLevel="0" collapsed="false">
      <c r="A57" s="11" t="s">
        <v>207</v>
      </c>
      <c r="B57" s="9"/>
      <c r="C57" s="9" t="s">
        <v>233</v>
      </c>
      <c r="D57" s="10" t="s">
        <v>234</v>
      </c>
      <c r="E57" s="9" t="s">
        <v>210</v>
      </c>
      <c r="F57" s="9" t="s">
        <v>210</v>
      </c>
      <c r="G57" s="10" t="s">
        <v>211</v>
      </c>
      <c r="H57" s="10" t="s">
        <v>212</v>
      </c>
      <c r="I57" s="9" t="s">
        <v>69</v>
      </c>
      <c r="J57" s="10" t="s">
        <v>235</v>
      </c>
      <c r="K57" s="10" t="s">
        <v>236</v>
      </c>
      <c r="L57" s="10" t="s">
        <v>237</v>
      </c>
      <c r="M57" s="10" t="s">
        <v>79</v>
      </c>
      <c r="N57" s="9" t="s">
        <v>74</v>
      </c>
      <c r="O57" s="9" t="s">
        <v>105</v>
      </c>
      <c r="P57" s="9" t="s">
        <v>89</v>
      </c>
      <c r="Q57" s="9" t="s">
        <v>90</v>
      </c>
    </row>
    <row r="58" customFormat="false" ht="23.25" hidden="false" customHeight="true" outlineLevel="0" collapsed="false">
      <c r="A58" s="11" t="s">
        <v>207</v>
      </c>
      <c r="B58" s="9"/>
      <c r="C58" s="9" t="s">
        <v>238</v>
      </c>
      <c r="D58" s="10" t="s">
        <v>239</v>
      </c>
      <c r="E58" s="9" t="s">
        <v>210</v>
      </c>
      <c r="F58" s="9" t="s">
        <v>210</v>
      </c>
      <c r="G58" s="10" t="s">
        <v>211</v>
      </c>
      <c r="H58" s="10" t="s">
        <v>212</v>
      </c>
      <c r="I58" s="9" t="s">
        <v>69</v>
      </c>
      <c r="J58" s="10" t="s">
        <v>85</v>
      </c>
      <c r="K58" s="10" t="s">
        <v>86</v>
      </c>
      <c r="L58" s="10" t="s">
        <v>240</v>
      </c>
      <c r="M58" s="10" t="s">
        <v>73</v>
      </c>
      <c r="N58" s="9" t="s">
        <v>74</v>
      </c>
      <c r="O58" s="9" t="s">
        <v>241</v>
      </c>
      <c r="P58" s="9" t="s">
        <v>89</v>
      </c>
      <c r="Q58" s="9" t="s">
        <v>90</v>
      </c>
    </row>
    <row r="59" customFormat="false" ht="23.25" hidden="false" customHeight="true" outlineLevel="0" collapsed="false">
      <c r="A59" s="11" t="s">
        <v>207</v>
      </c>
      <c r="B59" s="9"/>
      <c r="C59" s="9" t="s">
        <v>242</v>
      </c>
      <c r="D59" s="10" t="s">
        <v>239</v>
      </c>
      <c r="E59" s="9" t="s">
        <v>210</v>
      </c>
      <c r="F59" s="9" t="s">
        <v>210</v>
      </c>
      <c r="G59" s="10" t="s">
        <v>211</v>
      </c>
      <c r="H59" s="10" t="s">
        <v>212</v>
      </c>
      <c r="I59" s="9" t="s">
        <v>69</v>
      </c>
      <c r="J59" s="10" t="s">
        <v>85</v>
      </c>
      <c r="K59" s="10" t="s">
        <v>86</v>
      </c>
      <c r="L59" s="10" t="s">
        <v>240</v>
      </c>
      <c r="M59" s="10" t="s">
        <v>79</v>
      </c>
      <c r="N59" s="9" t="s">
        <v>74</v>
      </c>
      <c r="O59" s="9" t="s">
        <v>243</v>
      </c>
      <c r="P59" s="9" t="s">
        <v>89</v>
      </c>
      <c r="Q59" s="9" t="s">
        <v>90</v>
      </c>
    </row>
    <row r="60" customFormat="false" ht="23.25" hidden="false" customHeight="true" outlineLevel="0" collapsed="false">
      <c r="A60" s="11" t="s">
        <v>207</v>
      </c>
      <c r="B60" s="9"/>
      <c r="C60" s="9" t="s">
        <v>244</v>
      </c>
      <c r="D60" s="10" t="s">
        <v>239</v>
      </c>
      <c r="E60" s="9" t="s">
        <v>210</v>
      </c>
      <c r="F60" s="9" t="s">
        <v>210</v>
      </c>
      <c r="G60" s="10" t="s">
        <v>211</v>
      </c>
      <c r="H60" s="10" t="s">
        <v>212</v>
      </c>
      <c r="I60" s="9" t="s">
        <v>69</v>
      </c>
      <c r="J60" s="10" t="s">
        <v>85</v>
      </c>
      <c r="K60" s="10" t="s">
        <v>86</v>
      </c>
      <c r="L60" s="10" t="s">
        <v>245</v>
      </c>
      <c r="M60" s="10" t="s">
        <v>73</v>
      </c>
      <c r="N60" s="9" t="s">
        <v>74</v>
      </c>
      <c r="O60" s="9" t="s">
        <v>241</v>
      </c>
      <c r="P60" s="9" t="s">
        <v>89</v>
      </c>
      <c r="Q60" s="9" t="s">
        <v>90</v>
      </c>
    </row>
    <row r="61" customFormat="false" ht="23.25" hidden="false" customHeight="true" outlineLevel="0" collapsed="false">
      <c r="A61" s="11" t="s">
        <v>207</v>
      </c>
      <c r="B61" s="9"/>
      <c r="C61" s="9" t="s">
        <v>246</v>
      </c>
      <c r="D61" s="10" t="s">
        <v>239</v>
      </c>
      <c r="E61" s="9" t="s">
        <v>210</v>
      </c>
      <c r="F61" s="9" t="s">
        <v>210</v>
      </c>
      <c r="G61" s="10" t="s">
        <v>211</v>
      </c>
      <c r="H61" s="10" t="s">
        <v>212</v>
      </c>
      <c r="I61" s="9" t="s">
        <v>69</v>
      </c>
      <c r="J61" s="10" t="s">
        <v>85</v>
      </c>
      <c r="K61" s="10" t="s">
        <v>86</v>
      </c>
      <c r="L61" s="10" t="s">
        <v>245</v>
      </c>
      <c r="M61" s="10" t="s">
        <v>79</v>
      </c>
      <c r="N61" s="9" t="s">
        <v>74</v>
      </c>
      <c r="O61" s="9" t="s">
        <v>243</v>
      </c>
      <c r="P61" s="9" t="s">
        <v>89</v>
      </c>
      <c r="Q61" s="9" t="s">
        <v>90</v>
      </c>
    </row>
    <row r="62" customFormat="false" ht="23.25" hidden="false" customHeight="true" outlineLevel="0" collapsed="false">
      <c r="A62" s="11" t="s">
        <v>207</v>
      </c>
      <c r="B62" s="9"/>
      <c r="C62" s="9" t="s">
        <v>247</v>
      </c>
      <c r="D62" s="10" t="s">
        <v>248</v>
      </c>
      <c r="E62" s="9" t="s">
        <v>210</v>
      </c>
      <c r="F62" s="9" t="s">
        <v>210</v>
      </c>
      <c r="G62" s="10" t="s">
        <v>211</v>
      </c>
      <c r="H62" s="10" t="s">
        <v>212</v>
      </c>
      <c r="I62" s="9" t="s">
        <v>69</v>
      </c>
      <c r="J62" s="10" t="s">
        <v>249</v>
      </c>
      <c r="K62" s="10" t="s">
        <v>217</v>
      </c>
      <c r="L62" s="10" t="s">
        <v>250</v>
      </c>
      <c r="M62" s="10" t="s">
        <v>73</v>
      </c>
      <c r="N62" s="9" t="s">
        <v>74</v>
      </c>
      <c r="O62" s="9" t="s">
        <v>251</v>
      </c>
      <c r="P62" s="9" t="s">
        <v>76</v>
      </c>
      <c r="Q62" s="9" t="s">
        <v>77</v>
      </c>
    </row>
    <row r="63" customFormat="false" ht="23.25" hidden="false" customHeight="true" outlineLevel="0" collapsed="false">
      <c r="A63" s="11" t="s">
        <v>207</v>
      </c>
      <c r="B63" s="9"/>
      <c r="C63" s="9" t="s">
        <v>252</v>
      </c>
      <c r="D63" s="10" t="s">
        <v>248</v>
      </c>
      <c r="E63" s="9" t="s">
        <v>210</v>
      </c>
      <c r="F63" s="9" t="s">
        <v>210</v>
      </c>
      <c r="G63" s="10" t="s">
        <v>211</v>
      </c>
      <c r="H63" s="10" t="s">
        <v>212</v>
      </c>
      <c r="I63" s="9" t="s">
        <v>69</v>
      </c>
      <c r="J63" s="10" t="s">
        <v>249</v>
      </c>
      <c r="K63" s="10" t="s">
        <v>217</v>
      </c>
      <c r="L63" s="10" t="s">
        <v>250</v>
      </c>
      <c r="M63" s="10" t="s">
        <v>79</v>
      </c>
      <c r="N63" s="9" t="s">
        <v>74</v>
      </c>
      <c r="O63" s="9" t="s">
        <v>253</v>
      </c>
      <c r="P63" s="9" t="s">
        <v>76</v>
      </c>
      <c r="Q63" s="9" t="s">
        <v>77</v>
      </c>
    </row>
    <row r="64" customFormat="false" ht="23.25" hidden="false" customHeight="true" outlineLevel="0" collapsed="false">
      <c r="A64" s="11" t="s">
        <v>207</v>
      </c>
      <c r="B64" s="9"/>
      <c r="C64" s="9" t="s">
        <v>254</v>
      </c>
      <c r="D64" s="10" t="s">
        <v>248</v>
      </c>
      <c r="E64" s="9" t="s">
        <v>210</v>
      </c>
      <c r="F64" s="9" t="s">
        <v>210</v>
      </c>
      <c r="G64" s="10" t="s">
        <v>211</v>
      </c>
      <c r="H64" s="10" t="s">
        <v>212</v>
      </c>
      <c r="I64" s="9" t="s">
        <v>69</v>
      </c>
      <c r="J64" s="10" t="s">
        <v>249</v>
      </c>
      <c r="K64" s="10" t="s">
        <v>217</v>
      </c>
      <c r="L64" s="10" t="s">
        <v>255</v>
      </c>
      <c r="M64" s="10" t="s">
        <v>73</v>
      </c>
      <c r="N64" s="9" t="s">
        <v>74</v>
      </c>
      <c r="O64" s="9" t="s">
        <v>251</v>
      </c>
      <c r="P64" s="9" t="s">
        <v>76</v>
      </c>
      <c r="Q64" s="9" t="s">
        <v>77</v>
      </c>
    </row>
    <row r="65" customFormat="false" ht="23.25" hidden="false" customHeight="true" outlineLevel="0" collapsed="false">
      <c r="A65" s="11" t="s">
        <v>207</v>
      </c>
      <c r="B65" s="9"/>
      <c r="C65" s="9" t="s">
        <v>256</v>
      </c>
      <c r="D65" s="10" t="s">
        <v>248</v>
      </c>
      <c r="E65" s="9" t="s">
        <v>210</v>
      </c>
      <c r="F65" s="9" t="s">
        <v>210</v>
      </c>
      <c r="G65" s="10" t="s">
        <v>211</v>
      </c>
      <c r="H65" s="10" t="s">
        <v>212</v>
      </c>
      <c r="I65" s="9" t="s">
        <v>69</v>
      </c>
      <c r="J65" s="10" t="s">
        <v>249</v>
      </c>
      <c r="K65" s="10" t="s">
        <v>217</v>
      </c>
      <c r="L65" s="10" t="s">
        <v>255</v>
      </c>
      <c r="M65" s="10" t="s">
        <v>79</v>
      </c>
      <c r="N65" s="9" t="s">
        <v>74</v>
      </c>
      <c r="O65" s="9" t="s">
        <v>253</v>
      </c>
      <c r="P65" s="9" t="s">
        <v>76</v>
      </c>
      <c r="Q65" s="9" t="s">
        <v>77</v>
      </c>
    </row>
    <row r="66" customFormat="false" ht="23.25" hidden="false" customHeight="true" outlineLevel="0" collapsed="false">
      <c r="A66" s="11" t="s">
        <v>207</v>
      </c>
      <c r="B66" s="9"/>
      <c r="C66" s="9" t="s">
        <v>257</v>
      </c>
      <c r="D66" s="10" t="s">
        <v>258</v>
      </c>
      <c r="E66" s="9" t="s">
        <v>210</v>
      </c>
      <c r="F66" s="9" t="s">
        <v>210</v>
      </c>
      <c r="G66" s="10" t="s">
        <v>211</v>
      </c>
      <c r="H66" s="10" t="s">
        <v>212</v>
      </c>
      <c r="I66" s="9" t="s">
        <v>69</v>
      </c>
      <c r="J66" s="10" t="s">
        <v>249</v>
      </c>
      <c r="K66" s="10" t="s">
        <v>217</v>
      </c>
      <c r="L66" s="10" t="s">
        <v>259</v>
      </c>
      <c r="M66" s="10" t="s">
        <v>73</v>
      </c>
      <c r="N66" s="9" t="s">
        <v>74</v>
      </c>
      <c r="O66" s="9" t="s">
        <v>260</v>
      </c>
      <c r="P66" s="9" t="s">
        <v>76</v>
      </c>
      <c r="Q66" s="9" t="s">
        <v>77</v>
      </c>
    </row>
    <row r="67" customFormat="false" ht="23.25" hidden="false" customHeight="true" outlineLevel="0" collapsed="false">
      <c r="A67" s="11" t="s">
        <v>207</v>
      </c>
      <c r="B67" s="9"/>
      <c r="C67" s="9" t="s">
        <v>261</v>
      </c>
      <c r="D67" s="10" t="s">
        <v>258</v>
      </c>
      <c r="E67" s="9" t="s">
        <v>210</v>
      </c>
      <c r="F67" s="9" t="s">
        <v>210</v>
      </c>
      <c r="G67" s="10" t="s">
        <v>211</v>
      </c>
      <c r="H67" s="10" t="s">
        <v>212</v>
      </c>
      <c r="I67" s="9" t="s">
        <v>69</v>
      </c>
      <c r="J67" s="10" t="s">
        <v>249</v>
      </c>
      <c r="K67" s="10" t="s">
        <v>217</v>
      </c>
      <c r="L67" s="10" t="s">
        <v>259</v>
      </c>
      <c r="M67" s="10" t="s">
        <v>79</v>
      </c>
      <c r="N67" s="9" t="s">
        <v>74</v>
      </c>
      <c r="O67" s="9" t="s">
        <v>262</v>
      </c>
      <c r="P67" s="9" t="s">
        <v>76</v>
      </c>
      <c r="Q67" s="9" t="s">
        <v>77</v>
      </c>
    </row>
    <row r="68" customFormat="false" ht="23.25" hidden="false" customHeight="true" outlineLevel="0" collapsed="false">
      <c r="A68" s="11" t="s">
        <v>207</v>
      </c>
      <c r="B68" s="9"/>
      <c r="C68" s="9" t="s">
        <v>263</v>
      </c>
      <c r="D68" s="10" t="s">
        <v>258</v>
      </c>
      <c r="E68" s="9" t="s">
        <v>210</v>
      </c>
      <c r="F68" s="9" t="s">
        <v>210</v>
      </c>
      <c r="G68" s="10" t="s">
        <v>211</v>
      </c>
      <c r="H68" s="10" t="s">
        <v>212</v>
      </c>
      <c r="I68" s="9" t="s">
        <v>69</v>
      </c>
      <c r="J68" s="10" t="s">
        <v>249</v>
      </c>
      <c r="K68" s="10" t="s">
        <v>217</v>
      </c>
      <c r="L68" s="10" t="s">
        <v>264</v>
      </c>
      <c r="M68" s="10" t="s">
        <v>73</v>
      </c>
      <c r="N68" s="9" t="s">
        <v>74</v>
      </c>
      <c r="O68" s="9" t="s">
        <v>260</v>
      </c>
      <c r="P68" s="9" t="s">
        <v>76</v>
      </c>
      <c r="Q68" s="9" t="s">
        <v>77</v>
      </c>
    </row>
    <row r="69" customFormat="false" ht="23.25" hidden="false" customHeight="true" outlineLevel="0" collapsed="false">
      <c r="A69" s="11" t="s">
        <v>207</v>
      </c>
      <c r="B69" s="9"/>
      <c r="C69" s="9" t="s">
        <v>265</v>
      </c>
      <c r="D69" s="10" t="s">
        <v>258</v>
      </c>
      <c r="E69" s="9" t="s">
        <v>210</v>
      </c>
      <c r="F69" s="9" t="s">
        <v>210</v>
      </c>
      <c r="G69" s="10" t="s">
        <v>211</v>
      </c>
      <c r="H69" s="10" t="s">
        <v>212</v>
      </c>
      <c r="I69" s="9" t="s">
        <v>69</v>
      </c>
      <c r="J69" s="10" t="s">
        <v>249</v>
      </c>
      <c r="K69" s="10" t="s">
        <v>217</v>
      </c>
      <c r="L69" s="10" t="s">
        <v>264</v>
      </c>
      <c r="M69" s="10" t="s">
        <v>79</v>
      </c>
      <c r="N69" s="9" t="s">
        <v>74</v>
      </c>
      <c r="O69" s="9" t="s">
        <v>262</v>
      </c>
      <c r="P69" s="9" t="s">
        <v>76</v>
      </c>
      <c r="Q69" s="9" t="s">
        <v>77</v>
      </c>
    </row>
    <row r="70" customFormat="false" ht="34.5" hidden="false" customHeight="true" outlineLevel="0" collapsed="false">
      <c r="A70" s="11" t="s">
        <v>207</v>
      </c>
      <c r="B70" s="9"/>
      <c r="C70" s="9" t="s">
        <v>266</v>
      </c>
      <c r="D70" s="10" t="s">
        <v>216</v>
      </c>
      <c r="E70" s="9" t="s">
        <v>210</v>
      </c>
      <c r="F70" s="9" t="s">
        <v>210</v>
      </c>
      <c r="G70" s="10" t="s">
        <v>211</v>
      </c>
      <c r="H70" s="10" t="s">
        <v>212</v>
      </c>
      <c r="I70" s="9" t="s">
        <v>69</v>
      </c>
      <c r="J70" s="10" t="s">
        <v>70</v>
      </c>
      <c r="K70" s="10" t="s">
        <v>217</v>
      </c>
      <c r="L70" s="10" t="s">
        <v>267</v>
      </c>
      <c r="M70" s="10" t="s">
        <v>73</v>
      </c>
      <c r="N70" s="9" t="s">
        <v>74</v>
      </c>
      <c r="O70" s="9" t="s">
        <v>219</v>
      </c>
      <c r="P70" s="9" t="s">
        <v>76</v>
      </c>
      <c r="Q70" s="9" t="s">
        <v>77</v>
      </c>
    </row>
    <row r="71" customFormat="false" ht="34.5" hidden="false" customHeight="true" outlineLevel="0" collapsed="false">
      <c r="A71" s="11" t="s">
        <v>207</v>
      </c>
      <c r="B71" s="9"/>
      <c r="C71" s="9" t="s">
        <v>268</v>
      </c>
      <c r="D71" s="10" t="s">
        <v>216</v>
      </c>
      <c r="E71" s="9" t="s">
        <v>210</v>
      </c>
      <c r="F71" s="9" t="s">
        <v>210</v>
      </c>
      <c r="G71" s="10" t="s">
        <v>211</v>
      </c>
      <c r="H71" s="10" t="s">
        <v>212</v>
      </c>
      <c r="I71" s="9" t="s">
        <v>69</v>
      </c>
      <c r="J71" s="10" t="s">
        <v>70</v>
      </c>
      <c r="K71" s="10" t="s">
        <v>217</v>
      </c>
      <c r="L71" s="10" t="s">
        <v>267</v>
      </c>
      <c r="M71" s="10" t="s">
        <v>79</v>
      </c>
      <c r="N71" s="9" t="s">
        <v>74</v>
      </c>
      <c r="O71" s="9" t="s">
        <v>105</v>
      </c>
      <c r="P71" s="9" t="s">
        <v>76</v>
      </c>
      <c r="Q71" s="9" t="s">
        <v>77</v>
      </c>
    </row>
    <row r="72" customFormat="false" ht="34.5" hidden="false" customHeight="true" outlineLevel="0" collapsed="false">
      <c r="A72" s="11" t="s">
        <v>207</v>
      </c>
      <c r="B72" s="9"/>
      <c r="C72" s="9" t="s">
        <v>269</v>
      </c>
      <c r="D72" s="10" t="s">
        <v>216</v>
      </c>
      <c r="E72" s="9" t="s">
        <v>210</v>
      </c>
      <c r="F72" s="9" t="s">
        <v>210</v>
      </c>
      <c r="G72" s="10" t="s">
        <v>211</v>
      </c>
      <c r="H72" s="10" t="s">
        <v>212</v>
      </c>
      <c r="I72" s="9" t="s">
        <v>69</v>
      </c>
      <c r="J72" s="10" t="s">
        <v>70</v>
      </c>
      <c r="K72" s="10" t="s">
        <v>217</v>
      </c>
      <c r="L72" s="10" t="s">
        <v>218</v>
      </c>
      <c r="M72" s="10" t="s">
        <v>79</v>
      </c>
      <c r="N72" s="9" t="s">
        <v>74</v>
      </c>
      <c r="O72" s="9" t="s">
        <v>105</v>
      </c>
      <c r="P72" s="9" t="s">
        <v>76</v>
      </c>
      <c r="Q72" s="9" t="s">
        <v>77</v>
      </c>
    </row>
    <row r="73" customFormat="false" ht="23.25" hidden="false" customHeight="true" outlineLevel="0" collapsed="false">
      <c r="A73" s="11" t="s">
        <v>207</v>
      </c>
      <c r="B73" s="9"/>
      <c r="C73" s="9" t="s">
        <v>270</v>
      </c>
      <c r="D73" s="10" t="s">
        <v>271</v>
      </c>
      <c r="E73" s="9" t="s">
        <v>210</v>
      </c>
      <c r="F73" s="9" t="s">
        <v>210</v>
      </c>
      <c r="G73" s="10" t="s">
        <v>211</v>
      </c>
      <c r="H73" s="10" t="s">
        <v>212</v>
      </c>
      <c r="I73" s="9" t="s">
        <v>69</v>
      </c>
      <c r="J73" s="10" t="s">
        <v>85</v>
      </c>
      <c r="K73" s="10" t="s">
        <v>86</v>
      </c>
      <c r="L73" s="10" t="s">
        <v>272</v>
      </c>
      <c r="M73" s="10" t="s">
        <v>73</v>
      </c>
      <c r="N73" s="9" t="s">
        <v>74</v>
      </c>
      <c r="O73" s="9" t="s">
        <v>273</v>
      </c>
      <c r="P73" s="9" t="s">
        <v>89</v>
      </c>
      <c r="Q73" s="9" t="s">
        <v>90</v>
      </c>
    </row>
    <row r="74" customFormat="false" ht="23.25" hidden="false" customHeight="true" outlineLevel="0" collapsed="false">
      <c r="A74" s="11" t="s">
        <v>207</v>
      </c>
      <c r="B74" s="9"/>
      <c r="C74" s="9" t="s">
        <v>274</v>
      </c>
      <c r="D74" s="10" t="s">
        <v>271</v>
      </c>
      <c r="E74" s="9" t="s">
        <v>210</v>
      </c>
      <c r="F74" s="9" t="s">
        <v>210</v>
      </c>
      <c r="G74" s="10" t="s">
        <v>211</v>
      </c>
      <c r="H74" s="10" t="s">
        <v>212</v>
      </c>
      <c r="I74" s="9" t="s">
        <v>69</v>
      </c>
      <c r="J74" s="10" t="s">
        <v>85</v>
      </c>
      <c r="K74" s="10" t="s">
        <v>86</v>
      </c>
      <c r="L74" s="10" t="s">
        <v>272</v>
      </c>
      <c r="M74" s="10" t="s">
        <v>79</v>
      </c>
      <c r="N74" s="9" t="s">
        <v>74</v>
      </c>
      <c r="O74" s="9" t="s">
        <v>275</v>
      </c>
      <c r="P74" s="9" t="s">
        <v>89</v>
      </c>
      <c r="Q74" s="9" t="s">
        <v>90</v>
      </c>
    </row>
    <row r="75" customFormat="false" ht="34.5" hidden="false" customHeight="true" outlineLevel="0" collapsed="false">
      <c r="A75" s="11" t="s">
        <v>207</v>
      </c>
      <c r="B75" s="9"/>
      <c r="C75" s="9" t="s">
        <v>276</v>
      </c>
      <c r="D75" s="10" t="s">
        <v>271</v>
      </c>
      <c r="E75" s="9" t="s">
        <v>210</v>
      </c>
      <c r="F75" s="9" t="s">
        <v>210</v>
      </c>
      <c r="G75" s="10" t="s">
        <v>211</v>
      </c>
      <c r="H75" s="10" t="s">
        <v>212</v>
      </c>
      <c r="I75" s="9" t="s">
        <v>69</v>
      </c>
      <c r="J75" s="10" t="s">
        <v>85</v>
      </c>
      <c r="K75" s="10" t="s">
        <v>86</v>
      </c>
      <c r="L75" s="10" t="s">
        <v>277</v>
      </c>
      <c r="M75" s="10" t="s">
        <v>73</v>
      </c>
      <c r="N75" s="9" t="s">
        <v>74</v>
      </c>
      <c r="O75" s="9" t="s">
        <v>273</v>
      </c>
      <c r="P75" s="9" t="s">
        <v>89</v>
      </c>
      <c r="Q75" s="9" t="s">
        <v>90</v>
      </c>
    </row>
    <row r="76" customFormat="false" ht="34.5" hidden="false" customHeight="true" outlineLevel="0" collapsed="false">
      <c r="A76" s="11" t="s">
        <v>207</v>
      </c>
      <c r="B76" s="9"/>
      <c r="C76" s="9" t="s">
        <v>278</v>
      </c>
      <c r="D76" s="10" t="s">
        <v>271</v>
      </c>
      <c r="E76" s="9" t="s">
        <v>210</v>
      </c>
      <c r="F76" s="9" t="s">
        <v>210</v>
      </c>
      <c r="G76" s="10" t="s">
        <v>211</v>
      </c>
      <c r="H76" s="10" t="s">
        <v>212</v>
      </c>
      <c r="I76" s="9" t="s">
        <v>69</v>
      </c>
      <c r="J76" s="10" t="s">
        <v>85</v>
      </c>
      <c r="K76" s="10" t="s">
        <v>86</v>
      </c>
      <c r="L76" s="10" t="s">
        <v>277</v>
      </c>
      <c r="M76" s="10" t="s">
        <v>79</v>
      </c>
      <c r="N76" s="9" t="s">
        <v>74</v>
      </c>
      <c r="O76" s="9" t="s">
        <v>275</v>
      </c>
      <c r="P76" s="9" t="s">
        <v>89</v>
      </c>
      <c r="Q76" s="9" t="s">
        <v>90</v>
      </c>
    </row>
    <row r="77" customFormat="false" ht="23.25" hidden="false" customHeight="true" outlineLevel="0" collapsed="false">
      <c r="A77" s="11" t="s">
        <v>207</v>
      </c>
      <c r="B77" s="9"/>
      <c r="C77" s="9" t="s">
        <v>279</v>
      </c>
      <c r="D77" s="10" t="s">
        <v>280</v>
      </c>
      <c r="E77" s="9" t="s">
        <v>66</v>
      </c>
      <c r="F77" s="9" t="s">
        <v>101</v>
      </c>
      <c r="G77" s="10" t="s">
        <v>281</v>
      </c>
      <c r="H77" s="10" t="s">
        <v>282</v>
      </c>
      <c r="I77" s="9" t="s">
        <v>69</v>
      </c>
      <c r="J77" s="10" t="s">
        <v>85</v>
      </c>
      <c r="K77" s="10" t="s">
        <v>86</v>
      </c>
      <c r="L77" s="10" t="s">
        <v>283</v>
      </c>
      <c r="M77" s="10" t="s">
        <v>79</v>
      </c>
      <c r="N77" s="9" t="s">
        <v>74</v>
      </c>
      <c r="O77" s="9" t="s">
        <v>284</v>
      </c>
      <c r="P77" s="9" t="s">
        <v>89</v>
      </c>
      <c r="Q77" s="9" t="s">
        <v>90</v>
      </c>
    </row>
    <row r="78" customFormat="false" ht="34.5" hidden="false" customHeight="true" outlineLevel="0" collapsed="false">
      <c r="A78" s="11" t="s">
        <v>207</v>
      </c>
      <c r="B78" s="9"/>
      <c r="C78" s="9" t="s">
        <v>285</v>
      </c>
      <c r="D78" s="10" t="s">
        <v>286</v>
      </c>
      <c r="E78" s="9" t="s">
        <v>210</v>
      </c>
      <c r="F78" s="9" t="s">
        <v>210</v>
      </c>
      <c r="G78" s="10" t="s">
        <v>211</v>
      </c>
      <c r="H78" s="10" t="s">
        <v>212</v>
      </c>
      <c r="I78" s="9" t="s">
        <v>69</v>
      </c>
      <c r="J78" s="10" t="s">
        <v>249</v>
      </c>
      <c r="K78" s="10" t="s">
        <v>86</v>
      </c>
      <c r="L78" s="10" t="s">
        <v>287</v>
      </c>
      <c r="M78" s="10" t="s">
        <v>73</v>
      </c>
      <c r="N78" s="9" t="s">
        <v>74</v>
      </c>
      <c r="O78" s="9" t="s">
        <v>219</v>
      </c>
      <c r="P78" s="9" t="s">
        <v>89</v>
      </c>
      <c r="Q78" s="9" t="s">
        <v>90</v>
      </c>
    </row>
    <row r="79" customFormat="false" ht="34.5" hidden="false" customHeight="true" outlineLevel="0" collapsed="false">
      <c r="A79" s="11" t="s">
        <v>207</v>
      </c>
      <c r="B79" s="9"/>
      <c r="C79" s="9" t="s">
        <v>288</v>
      </c>
      <c r="D79" s="10" t="s">
        <v>286</v>
      </c>
      <c r="E79" s="9" t="s">
        <v>210</v>
      </c>
      <c r="F79" s="9" t="s">
        <v>210</v>
      </c>
      <c r="G79" s="10" t="s">
        <v>211</v>
      </c>
      <c r="H79" s="10" t="s">
        <v>212</v>
      </c>
      <c r="I79" s="9" t="s">
        <v>69</v>
      </c>
      <c r="J79" s="10" t="s">
        <v>249</v>
      </c>
      <c r="K79" s="10" t="s">
        <v>86</v>
      </c>
      <c r="L79" s="10" t="s">
        <v>287</v>
      </c>
      <c r="M79" s="10" t="s">
        <v>79</v>
      </c>
      <c r="N79" s="9" t="s">
        <v>74</v>
      </c>
      <c r="O79" s="9" t="s">
        <v>105</v>
      </c>
      <c r="P79" s="9" t="s">
        <v>89</v>
      </c>
      <c r="Q79" s="9" t="s">
        <v>90</v>
      </c>
    </row>
    <row r="80" customFormat="false" ht="34.5" hidden="false" customHeight="true" outlineLevel="0" collapsed="false">
      <c r="A80" s="11" t="s">
        <v>207</v>
      </c>
      <c r="B80" s="9"/>
      <c r="C80" s="9" t="s">
        <v>289</v>
      </c>
      <c r="D80" s="10" t="s">
        <v>286</v>
      </c>
      <c r="E80" s="9" t="s">
        <v>210</v>
      </c>
      <c r="F80" s="9" t="s">
        <v>210</v>
      </c>
      <c r="G80" s="10" t="s">
        <v>211</v>
      </c>
      <c r="H80" s="10" t="s">
        <v>212</v>
      </c>
      <c r="I80" s="9" t="s">
        <v>69</v>
      </c>
      <c r="J80" s="10" t="s">
        <v>249</v>
      </c>
      <c r="K80" s="10" t="s">
        <v>86</v>
      </c>
      <c r="L80" s="10" t="s">
        <v>290</v>
      </c>
      <c r="M80" s="10" t="s">
        <v>73</v>
      </c>
      <c r="N80" s="9" t="s">
        <v>74</v>
      </c>
      <c r="O80" s="9" t="s">
        <v>219</v>
      </c>
      <c r="P80" s="9" t="s">
        <v>89</v>
      </c>
      <c r="Q80" s="9" t="s">
        <v>90</v>
      </c>
    </row>
    <row r="81" customFormat="false" ht="34.5" hidden="false" customHeight="true" outlineLevel="0" collapsed="false">
      <c r="A81" s="11" t="s">
        <v>207</v>
      </c>
      <c r="B81" s="9"/>
      <c r="C81" s="9" t="s">
        <v>291</v>
      </c>
      <c r="D81" s="10" t="s">
        <v>286</v>
      </c>
      <c r="E81" s="9" t="s">
        <v>210</v>
      </c>
      <c r="F81" s="9" t="s">
        <v>210</v>
      </c>
      <c r="G81" s="10" t="s">
        <v>211</v>
      </c>
      <c r="H81" s="10" t="s">
        <v>212</v>
      </c>
      <c r="I81" s="9" t="s">
        <v>69</v>
      </c>
      <c r="J81" s="10" t="s">
        <v>249</v>
      </c>
      <c r="K81" s="10" t="s">
        <v>86</v>
      </c>
      <c r="L81" s="10" t="s">
        <v>290</v>
      </c>
      <c r="M81" s="10" t="s">
        <v>79</v>
      </c>
      <c r="N81" s="9" t="s">
        <v>74</v>
      </c>
      <c r="O81" s="9" t="s">
        <v>105</v>
      </c>
      <c r="P81" s="9" t="s">
        <v>89</v>
      </c>
      <c r="Q81" s="9" t="s">
        <v>90</v>
      </c>
    </row>
    <row r="82" customFormat="false" ht="23.25" hidden="false" customHeight="true" outlineLevel="0" collapsed="false">
      <c r="A82" s="11" t="s">
        <v>207</v>
      </c>
      <c r="B82" s="9"/>
      <c r="C82" s="9" t="s">
        <v>292</v>
      </c>
      <c r="D82" s="10" t="s">
        <v>221</v>
      </c>
      <c r="E82" s="9" t="s">
        <v>210</v>
      </c>
      <c r="F82" s="9" t="s">
        <v>210</v>
      </c>
      <c r="G82" s="10" t="s">
        <v>211</v>
      </c>
      <c r="H82" s="10" t="s">
        <v>212</v>
      </c>
      <c r="I82" s="9" t="s">
        <v>69</v>
      </c>
      <c r="J82" s="10" t="s">
        <v>85</v>
      </c>
      <c r="K82" s="10" t="s">
        <v>86</v>
      </c>
      <c r="L82" s="10" t="s">
        <v>222</v>
      </c>
      <c r="M82" s="10" t="s">
        <v>73</v>
      </c>
      <c r="N82" s="9" t="s">
        <v>74</v>
      </c>
      <c r="O82" s="9" t="s">
        <v>293</v>
      </c>
      <c r="P82" s="9" t="s">
        <v>89</v>
      </c>
      <c r="Q82" s="9" t="s">
        <v>90</v>
      </c>
    </row>
    <row r="83" customFormat="false" ht="23.25" hidden="false" customHeight="true" outlineLevel="0" collapsed="false">
      <c r="A83" s="11" t="s">
        <v>207</v>
      </c>
      <c r="B83" s="9"/>
      <c r="C83" s="9" t="s">
        <v>294</v>
      </c>
      <c r="D83" s="10" t="s">
        <v>221</v>
      </c>
      <c r="E83" s="9" t="s">
        <v>210</v>
      </c>
      <c r="F83" s="9" t="s">
        <v>210</v>
      </c>
      <c r="G83" s="10" t="s">
        <v>211</v>
      </c>
      <c r="H83" s="10" t="s">
        <v>212</v>
      </c>
      <c r="I83" s="9" t="s">
        <v>69</v>
      </c>
      <c r="J83" s="10" t="s">
        <v>85</v>
      </c>
      <c r="K83" s="10" t="s">
        <v>86</v>
      </c>
      <c r="L83" s="10" t="s">
        <v>295</v>
      </c>
      <c r="M83" s="10" t="s">
        <v>73</v>
      </c>
      <c r="N83" s="9" t="s">
        <v>74</v>
      </c>
      <c r="O83" s="9" t="s">
        <v>293</v>
      </c>
      <c r="P83" s="9" t="s">
        <v>89</v>
      </c>
      <c r="Q83" s="9" t="s">
        <v>90</v>
      </c>
    </row>
    <row r="84" customFormat="false" ht="23.25" hidden="false" customHeight="true" outlineLevel="0" collapsed="false">
      <c r="A84" s="11" t="s">
        <v>207</v>
      </c>
      <c r="B84" s="9"/>
      <c r="C84" s="9" t="s">
        <v>296</v>
      </c>
      <c r="D84" s="10" t="s">
        <v>221</v>
      </c>
      <c r="E84" s="9" t="s">
        <v>210</v>
      </c>
      <c r="F84" s="9" t="s">
        <v>210</v>
      </c>
      <c r="G84" s="10" t="s">
        <v>211</v>
      </c>
      <c r="H84" s="10" t="s">
        <v>212</v>
      </c>
      <c r="I84" s="9" t="s">
        <v>69</v>
      </c>
      <c r="J84" s="10" t="s">
        <v>85</v>
      </c>
      <c r="K84" s="10" t="s">
        <v>86</v>
      </c>
      <c r="L84" s="10" t="s">
        <v>295</v>
      </c>
      <c r="M84" s="10" t="s">
        <v>96</v>
      </c>
      <c r="N84" s="9" t="s">
        <v>97</v>
      </c>
      <c r="O84" s="9" t="s">
        <v>223</v>
      </c>
      <c r="P84" s="9" t="s">
        <v>89</v>
      </c>
      <c r="Q84" s="9" t="s">
        <v>90</v>
      </c>
    </row>
    <row r="85" customFormat="false" ht="23.25" hidden="false" customHeight="true" outlineLevel="0" collapsed="false">
      <c r="A85" s="11" t="s">
        <v>207</v>
      </c>
      <c r="B85" s="9"/>
      <c r="C85" s="9" t="s">
        <v>297</v>
      </c>
      <c r="D85" s="10" t="s">
        <v>298</v>
      </c>
      <c r="E85" s="9" t="s">
        <v>210</v>
      </c>
      <c r="F85" s="9" t="s">
        <v>210</v>
      </c>
      <c r="G85" s="10" t="s">
        <v>211</v>
      </c>
      <c r="H85" s="10" t="s">
        <v>212</v>
      </c>
      <c r="I85" s="9" t="s">
        <v>69</v>
      </c>
      <c r="J85" s="10" t="s">
        <v>85</v>
      </c>
      <c r="K85" s="10" t="s">
        <v>86</v>
      </c>
      <c r="L85" s="10" t="s">
        <v>299</v>
      </c>
      <c r="M85" s="10" t="s">
        <v>73</v>
      </c>
      <c r="N85" s="9" t="s">
        <v>74</v>
      </c>
      <c r="O85" s="9" t="s">
        <v>300</v>
      </c>
      <c r="P85" s="9" t="s">
        <v>89</v>
      </c>
      <c r="Q85" s="9" t="s">
        <v>90</v>
      </c>
    </row>
    <row r="86" customFormat="false" ht="23.25" hidden="false" customHeight="true" outlineLevel="0" collapsed="false">
      <c r="A86" s="11" t="s">
        <v>207</v>
      </c>
      <c r="B86" s="9"/>
      <c r="C86" s="9" t="s">
        <v>301</v>
      </c>
      <c r="D86" s="10" t="s">
        <v>298</v>
      </c>
      <c r="E86" s="9" t="s">
        <v>210</v>
      </c>
      <c r="F86" s="9" t="s">
        <v>210</v>
      </c>
      <c r="G86" s="10" t="s">
        <v>211</v>
      </c>
      <c r="H86" s="10" t="s">
        <v>212</v>
      </c>
      <c r="I86" s="9" t="s">
        <v>69</v>
      </c>
      <c r="J86" s="10" t="s">
        <v>85</v>
      </c>
      <c r="K86" s="10" t="s">
        <v>86</v>
      </c>
      <c r="L86" s="10" t="s">
        <v>299</v>
      </c>
      <c r="M86" s="10" t="s">
        <v>79</v>
      </c>
      <c r="N86" s="9" t="s">
        <v>74</v>
      </c>
      <c r="O86" s="9" t="s">
        <v>302</v>
      </c>
      <c r="P86" s="9" t="s">
        <v>89</v>
      </c>
      <c r="Q86" s="9" t="s">
        <v>90</v>
      </c>
    </row>
    <row r="87" customFormat="false" ht="23.25" hidden="false" customHeight="true" outlineLevel="0" collapsed="false">
      <c r="A87" s="11" t="s">
        <v>207</v>
      </c>
      <c r="B87" s="9"/>
      <c r="C87" s="9" t="s">
        <v>303</v>
      </c>
      <c r="D87" s="10" t="s">
        <v>298</v>
      </c>
      <c r="E87" s="9" t="s">
        <v>210</v>
      </c>
      <c r="F87" s="9" t="s">
        <v>210</v>
      </c>
      <c r="G87" s="10" t="s">
        <v>211</v>
      </c>
      <c r="H87" s="10" t="s">
        <v>212</v>
      </c>
      <c r="I87" s="9" t="s">
        <v>69</v>
      </c>
      <c r="J87" s="10" t="s">
        <v>85</v>
      </c>
      <c r="K87" s="10" t="s">
        <v>86</v>
      </c>
      <c r="L87" s="10" t="s">
        <v>304</v>
      </c>
      <c r="M87" s="10" t="s">
        <v>73</v>
      </c>
      <c r="N87" s="9" t="s">
        <v>74</v>
      </c>
      <c r="O87" s="9" t="s">
        <v>300</v>
      </c>
      <c r="P87" s="9" t="s">
        <v>89</v>
      </c>
      <c r="Q87" s="9" t="s">
        <v>90</v>
      </c>
    </row>
    <row r="88" customFormat="false" ht="23.25" hidden="false" customHeight="true" outlineLevel="0" collapsed="false">
      <c r="A88" s="11" t="s">
        <v>207</v>
      </c>
      <c r="B88" s="9"/>
      <c r="C88" s="9" t="s">
        <v>305</v>
      </c>
      <c r="D88" s="10" t="s">
        <v>298</v>
      </c>
      <c r="E88" s="9" t="s">
        <v>210</v>
      </c>
      <c r="F88" s="9" t="s">
        <v>210</v>
      </c>
      <c r="G88" s="10" t="s">
        <v>211</v>
      </c>
      <c r="H88" s="10" t="s">
        <v>212</v>
      </c>
      <c r="I88" s="9" t="s">
        <v>69</v>
      </c>
      <c r="J88" s="10" t="s">
        <v>85</v>
      </c>
      <c r="K88" s="10" t="s">
        <v>86</v>
      </c>
      <c r="L88" s="10" t="s">
        <v>304</v>
      </c>
      <c r="M88" s="10" t="s">
        <v>79</v>
      </c>
      <c r="N88" s="9" t="s">
        <v>74</v>
      </c>
      <c r="O88" s="9" t="s">
        <v>302</v>
      </c>
      <c r="P88" s="9" t="s">
        <v>89</v>
      </c>
      <c r="Q88" s="9" t="s">
        <v>90</v>
      </c>
    </row>
    <row r="89" customFormat="false" ht="34.5" hidden="false" customHeight="true" outlineLevel="0" collapsed="false">
      <c r="A89" s="11" t="s">
        <v>207</v>
      </c>
      <c r="B89" s="9"/>
      <c r="C89" s="9" t="s">
        <v>306</v>
      </c>
      <c r="D89" s="10" t="s">
        <v>307</v>
      </c>
      <c r="E89" s="9" t="s">
        <v>210</v>
      </c>
      <c r="F89" s="9" t="s">
        <v>101</v>
      </c>
      <c r="G89" s="10" t="s">
        <v>308</v>
      </c>
      <c r="H89" s="10" t="s">
        <v>309</v>
      </c>
      <c r="I89" s="9" t="s">
        <v>69</v>
      </c>
      <c r="J89" s="10" t="s">
        <v>85</v>
      </c>
      <c r="K89" s="10" t="s">
        <v>86</v>
      </c>
      <c r="L89" s="10" t="s">
        <v>310</v>
      </c>
      <c r="M89" s="10" t="s">
        <v>73</v>
      </c>
      <c r="N89" s="9" t="s">
        <v>74</v>
      </c>
      <c r="O89" s="9" t="s">
        <v>219</v>
      </c>
      <c r="P89" s="9" t="s">
        <v>89</v>
      </c>
      <c r="Q89" s="9" t="s">
        <v>90</v>
      </c>
    </row>
    <row r="90" customFormat="false" ht="34.5" hidden="false" customHeight="true" outlineLevel="0" collapsed="false">
      <c r="A90" s="11" t="s">
        <v>207</v>
      </c>
      <c r="B90" s="9"/>
      <c r="C90" s="9" t="s">
        <v>311</v>
      </c>
      <c r="D90" s="10" t="s">
        <v>307</v>
      </c>
      <c r="E90" s="9" t="s">
        <v>210</v>
      </c>
      <c r="F90" s="9" t="s">
        <v>101</v>
      </c>
      <c r="G90" s="10" t="s">
        <v>308</v>
      </c>
      <c r="H90" s="10" t="s">
        <v>309</v>
      </c>
      <c r="I90" s="9" t="s">
        <v>69</v>
      </c>
      <c r="J90" s="10" t="s">
        <v>85</v>
      </c>
      <c r="K90" s="10" t="s">
        <v>86</v>
      </c>
      <c r="L90" s="10" t="s">
        <v>310</v>
      </c>
      <c r="M90" s="10" t="s">
        <v>79</v>
      </c>
      <c r="N90" s="9" t="s">
        <v>74</v>
      </c>
      <c r="O90" s="9" t="s">
        <v>105</v>
      </c>
      <c r="P90" s="9" t="s">
        <v>89</v>
      </c>
      <c r="Q90" s="9" t="s">
        <v>90</v>
      </c>
    </row>
    <row r="91" customFormat="false" ht="34.5" hidden="false" customHeight="true" outlineLevel="0" collapsed="false">
      <c r="A91" s="11" t="s">
        <v>207</v>
      </c>
      <c r="B91" s="9"/>
      <c r="C91" s="9" t="s">
        <v>312</v>
      </c>
      <c r="D91" s="10" t="s">
        <v>307</v>
      </c>
      <c r="E91" s="9" t="s">
        <v>210</v>
      </c>
      <c r="F91" s="9" t="s">
        <v>101</v>
      </c>
      <c r="G91" s="10" t="s">
        <v>308</v>
      </c>
      <c r="H91" s="10" t="s">
        <v>309</v>
      </c>
      <c r="I91" s="9" t="s">
        <v>69</v>
      </c>
      <c r="J91" s="10" t="s">
        <v>85</v>
      </c>
      <c r="K91" s="10" t="s">
        <v>86</v>
      </c>
      <c r="L91" s="10" t="s">
        <v>313</v>
      </c>
      <c r="M91" s="10" t="s">
        <v>73</v>
      </c>
      <c r="N91" s="9" t="s">
        <v>74</v>
      </c>
      <c r="O91" s="9" t="s">
        <v>219</v>
      </c>
      <c r="P91" s="9" t="s">
        <v>89</v>
      </c>
      <c r="Q91" s="9" t="s">
        <v>90</v>
      </c>
    </row>
    <row r="92" customFormat="false" ht="34.5" hidden="false" customHeight="true" outlineLevel="0" collapsed="false">
      <c r="A92" s="11" t="s">
        <v>207</v>
      </c>
      <c r="B92" s="9"/>
      <c r="C92" s="9" t="s">
        <v>314</v>
      </c>
      <c r="D92" s="10" t="s">
        <v>307</v>
      </c>
      <c r="E92" s="9" t="s">
        <v>210</v>
      </c>
      <c r="F92" s="9" t="s">
        <v>101</v>
      </c>
      <c r="G92" s="10" t="s">
        <v>308</v>
      </c>
      <c r="H92" s="10" t="s">
        <v>309</v>
      </c>
      <c r="I92" s="9" t="s">
        <v>69</v>
      </c>
      <c r="J92" s="10" t="s">
        <v>85</v>
      </c>
      <c r="K92" s="10" t="s">
        <v>86</v>
      </c>
      <c r="L92" s="10" t="s">
        <v>313</v>
      </c>
      <c r="M92" s="10" t="s">
        <v>79</v>
      </c>
      <c r="N92" s="9" t="s">
        <v>74</v>
      </c>
      <c r="O92" s="9" t="s">
        <v>105</v>
      </c>
      <c r="P92" s="9" t="s">
        <v>89</v>
      </c>
      <c r="Q92" s="9" t="s">
        <v>90</v>
      </c>
    </row>
    <row r="93" customFormat="false" ht="23.25" hidden="false" customHeight="true" outlineLevel="0" collapsed="false">
      <c r="A93" s="11" t="s">
        <v>207</v>
      </c>
      <c r="B93" s="9"/>
      <c r="C93" s="9" t="s">
        <v>315</v>
      </c>
      <c r="D93" s="10" t="s">
        <v>316</v>
      </c>
      <c r="E93" s="9" t="s">
        <v>210</v>
      </c>
      <c r="F93" s="9" t="s">
        <v>210</v>
      </c>
      <c r="G93" s="10" t="s">
        <v>211</v>
      </c>
      <c r="H93" s="10" t="s">
        <v>212</v>
      </c>
      <c r="I93" s="9" t="s">
        <v>69</v>
      </c>
      <c r="J93" s="10" t="s">
        <v>85</v>
      </c>
      <c r="K93" s="10" t="s">
        <v>317</v>
      </c>
      <c r="L93" s="10" t="s">
        <v>318</v>
      </c>
      <c r="M93" s="10" t="s">
        <v>73</v>
      </c>
      <c r="N93" s="9" t="s">
        <v>74</v>
      </c>
      <c r="O93" s="9" t="s">
        <v>319</v>
      </c>
      <c r="P93" s="9" t="s">
        <v>89</v>
      </c>
      <c r="Q93" s="9" t="s">
        <v>90</v>
      </c>
    </row>
    <row r="94" customFormat="false" ht="23.25" hidden="false" customHeight="true" outlineLevel="0" collapsed="false">
      <c r="A94" s="11" t="s">
        <v>207</v>
      </c>
      <c r="B94" s="9"/>
      <c r="C94" s="9" t="s">
        <v>320</v>
      </c>
      <c r="D94" s="10" t="s">
        <v>316</v>
      </c>
      <c r="E94" s="9" t="s">
        <v>210</v>
      </c>
      <c r="F94" s="9" t="s">
        <v>210</v>
      </c>
      <c r="G94" s="10" t="s">
        <v>211</v>
      </c>
      <c r="H94" s="10" t="s">
        <v>212</v>
      </c>
      <c r="I94" s="9" t="s">
        <v>69</v>
      </c>
      <c r="J94" s="10" t="s">
        <v>85</v>
      </c>
      <c r="K94" s="10" t="s">
        <v>317</v>
      </c>
      <c r="L94" s="10" t="s">
        <v>318</v>
      </c>
      <c r="M94" s="10" t="s">
        <v>79</v>
      </c>
      <c r="N94" s="9" t="s">
        <v>74</v>
      </c>
      <c r="O94" s="9" t="s">
        <v>321</v>
      </c>
      <c r="P94" s="9" t="s">
        <v>89</v>
      </c>
      <c r="Q94" s="9" t="s">
        <v>90</v>
      </c>
    </row>
    <row r="95" customFormat="false" ht="23.25" hidden="false" customHeight="true" outlineLevel="0" collapsed="false">
      <c r="A95" s="11" t="s">
        <v>207</v>
      </c>
      <c r="B95" s="9"/>
      <c r="C95" s="9" t="s">
        <v>322</v>
      </c>
      <c r="D95" s="10" t="s">
        <v>316</v>
      </c>
      <c r="E95" s="9" t="s">
        <v>210</v>
      </c>
      <c r="F95" s="9" t="s">
        <v>210</v>
      </c>
      <c r="G95" s="10" t="s">
        <v>211</v>
      </c>
      <c r="H95" s="10" t="s">
        <v>212</v>
      </c>
      <c r="I95" s="9" t="s">
        <v>69</v>
      </c>
      <c r="J95" s="10" t="s">
        <v>85</v>
      </c>
      <c r="K95" s="10" t="s">
        <v>317</v>
      </c>
      <c r="L95" s="10" t="s">
        <v>323</v>
      </c>
      <c r="M95" s="10" t="s">
        <v>73</v>
      </c>
      <c r="N95" s="9" t="s">
        <v>74</v>
      </c>
      <c r="O95" s="9" t="s">
        <v>319</v>
      </c>
      <c r="P95" s="9" t="s">
        <v>89</v>
      </c>
      <c r="Q95" s="9" t="s">
        <v>90</v>
      </c>
    </row>
    <row r="96" customFormat="false" ht="23.25" hidden="false" customHeight="true" outlineLevel="0" collapsed="false">
      <c r="A96" s="11" t="s">
        <v>207</v>
      </c>
      <c r="B96" s="9"/>
      <c r="C96" s="9" t="s">
        <v>324</v>
      </c>
      <c r="D96" s="10" t="s">
        <v>316</v>
      </c>
      <c r="E96" s="9" t="s">
        <v>210</v>
      </c>
      <c r="F96" s="9" t="s">
        <v>210</v>
      </c>
      <c r="G96" s="10" t="s">
        <v>211</v>
      </c>
      <c r="H96" s="10" t="s">
        <v>212</v>
      </c>
      <c r="I96" s="9" t="s">
        <v>69</v>
      </c>
      <c r="J96" s="10" t="s">
        <v>85</v>
      </c>
      <c r="K96" s="10" t="s">
        <v>317</v>
      </c>
      <c r="L96" s="10" t="s">
        <v>323</v>
      </c>
      <c r="M96" s="10" t="s">
        <v>79</v>
      </c>
      <c r="N96" s="9" t="s">
        <v>74</v>
      </c>
      <c r="O96" s="9" t="s">
        <v>321</v>
      </c>
      <c r="P96" s="9" t="s">
        <v>89</v>
      </c>
      <c r="Q96" s="9" t="s">
        <v>90</v>
      </c>
    </row>
    <row r="97" customFormat="false" ht="23.25" hidden="false" customHeight="true" outlineLevel="0" collapsed="false">
      <c r="A97" s="11" t="s">
        <v>207</v>
      </c>
      <c r="B97" s="9"/>
      <c r="C97" s="9" t="s">
        <v>325</v>
      </c>
      <c r="D97" s="10" t="s">
        <v>225</v>
      </c>
      <c r="E97" s="9" t="s">
        <v>210</v>
      </c>
      <c r="F97" s="9" t="s">
        <v>210</v>
      </c>
      <c r="G97" s="10" t="s">
        <v>211</v>
      </c>
      <c r="H97" s="10" t="s">
        <v>212</v>
      </c>
      <c r="I97" s="9" t="s">
        <v>69</v>
      </c>
      <c r="J97" s="10" t="s">
        <v>85</v>
      </c>
      <c r="K97" s="10" t="s">
        <v>86</v>
      </c>
      <c r="L97" s="10" t="s">
        <v>226</v>
      </c>
      <c r="M97" s="10" t="s">
        <v>79</v>
      </c>
      <c r="N97" s="9" t="s">
        <v>74</v>
      </c>
      <c r="O97" s="9" t="s">
        <v>326</v>
      </c>
      <c r="P97" s="9" t="s">
        <v>89</v>
      </c>
      <c r="Q97" s="9" t="s">
        <v>90</v>
      </c>
    </row>
    <row r="98" customFormat="false" ht="23.25" hidden="false" customHeight="true" outlineLevel="0" collapsed="false">
      <c r="A98" s="11" t="s">
        <v>207</v>
      </c>
      <c r="B98" s="9"/>
      <c r="C98" s="9" t="s">
        <v>327</v>
      </c>
      <c r="D98" s="10" t="s">
        <v>225</v>
      </c>
      <c r="E98" s="9" t="s">
        <v>210</v>
      </c>
      <c r="F98" s="9" t="s">
        <v>210</v>
      </c>
      <c r="G98" s="10" t="s">
        <v>211</v>
      </c>
      <c r="H98" s="10" t="s">
        <v>212</v>
      </c>
      <c r="I98" s="9" t="s">
        <v>69</v>
      </c>
      <c r="J98" s="10" t="s">
        <v>85</v>
      </c>
      <c r="K98" s="10" t="s">
        <v>86</v>
      </c>
      <c r="L98" s="10" t="s">
        <v>328</v>
      </c>
      <c r="M98" s="10" t="s">
        <v>73</v>
      </c>
      <c r="N98" s="9" t="s">
        <v>74</v>
      </c>
      <c r="O98" s="9" t="s">
        <v>227</v>
      </c>
      <c r="P98" s="9" t="s">
        <v>89</v>
      </c>
      <c r="Q98" s="9" t="s">
        <v>90</v>
      </c>
    </row>
    <row r="99" customFormat="false" ht="23.25" hidden="false" customHeight="true" outlineLevel="0" collapsed="false">
      <c r="A99" s="11" t="s">
        <v>207</v>
      </c>
      <c r="B99" s="9"/>
      <c r="C99" s="9" t="s">
        <v>329</v>
      </c>
      <c r="D99" s="10" t="s">
        <v>225</v>
      </c>
      <c r="E99" s="9" t="s">
        <v>210</v>
      </c>
      <c r="F99" s="9" t="s">
        <v>210</v>
      </c>
      <c r="G99" s="10" t="s">
        <v>211</v>
      </c>
      <c r="H99" s="10" t="s">
        <v>212</v>
      </c>
      <c r="I99" s="9" t="s">
        <v>69</v>
      </c>
      <c r="J99" s="10" t="s">
        <v>85</v>
      </c>
      <c r="K99" s="10" t="s">
        <v>86</v>
      </c>
      <c r="L99" s="10" t="s">
        <v>328</v>
      </c>
      <c r="M99" s="10" t="s">
        <v>79</v>
      </c>
      <c r="N99" s="9" t="s">
        <v>74</v>
      </c>
      <c r="O99" s="9" t="s">
        <v>326</v>
      </c>
      <c r="P99" s="9" t="s">
        <v>89</v>
      </c>
      <c r="Q99" s="9" t="s">
        <v>90</v>
      </c>
    </row>
    <row r="100" customFormat="false" ht="34.5" hidden="false" customHeight="true" outlineLevel="0" collapsed="false">
      <c r="A100" s="11" t="s">
        <v>207</v>
      </c>
      <c r="B100" s="9"/>
      <c r="C100" s="9" t="s">
        <v>330</v>
      </c>
      <c r="D100" s="10" t="s">
        <v>225</v>
      </c>
      <c r="E100" s="9" t="s">
        <v>210</v>
      </c>
      <c r="F100" s="9" t="s">
        <v>210</v>
      </c>
      <c r="G100" s="10" t="s">
        <v>211</v>
      </c>
      <c r="H100" s="10" t="s">
        <v>212</v>
      </c>
      <c r="I100" s="9" t="s">
        <v>69</v>
      </c>
      <c r="J100" s="10" t="s">
        <v>85</v>
      </c>
      <c r="K100" s="10" t="s">
        <v>86</v>
      </c>
      <c r="L100" s="10" t="s">
        <v>331</v>
      </c>
      <c r="M100" s="10" t="s">
        <v>73</v>
      </c>
      <c r="N100" s="9" t="s">
        <v>74</v>
      </c>
      <c r="O100" s="9" t="s">
        <v>227</v>
      </c>
      <c r="P100" s="9" t="s">
        <v>89</v>
      </c>
      <c r="Q100" s="9" t="s">
        <v>90</v>
      </c>
    </row>
    <row r="101" customFormat="false" ht="34.5" hidden="false" customHeight="true" outlineLevel="0" collapsed="false">
      <c r="A101" s="11" t="s">
        <v>207</v>
      </c>
      <c r="B101" s="9"/>
      <c r="C101" s="9" t="s">
        <v>332</v>
      </c>
      <c r="D101" s="10" t="s">
        <v>225</v>
      </c>
      <c r="E101" s="9" t="s">
        <v>210</v>
      </c>
      <c r="F101" s="9" t="s">
        <v>210</v>
      </c>
      <c r="G101" s="10" t="s">
        <v>211</v>
      </c>
      <c r="H101" s="10" t="s">
        <v>212</v>
      </c>
      <c r="I101" s="9" t="s">
        <v>69</v>
      </c>
      <c r="J101" s="10" t="s">
        <v>85</v>
      </c>
      <c r="K101" s="10" t="s">
        <v>86</v>
      </c>
      <c r="L101" s="10" t="s">
        <v>331</v>
      </c>
      <c r="M101" s="10" t="s">
        <v>79</v>
      </c>
      <c r="N101" s="9" t="s">
        <v>74</v>
      </c>
      <c r="O101" s="9" t="s">
        <v>326</v>
      </c>
      <c r="P101" s="9" t="s">
        <v>89</v>
      </c>
      <c r="Q101" s="9" t="s">
        <v>90</v>
      </c>
    </row>
  </sheetData>
  <autoFilter ref="A1:O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6"/>
    <col collapsed="false" customWidth="true" hidden="false" outlineLevel="0" max="3" min="3" style="1" width="50"/>
    <col collapsed="false" customWidth="true" hidden="false" outlineLevel="0" max="4" min="4" style="1" width="9"/>
    <col collapsed="false" customWidth="true" hidden="false" outlineLevel="0" max="5" min="5" style="1" width="12"/>
    <col collapsed="false" customWidth="true" hidden="false" outlineLevel="0" max="6" min="6" style="1" width="70"/>
    <col collapsed="false" customWidth="true" hidden="false" outlineLevel="0" max="7" min="7" style="1" width="12"/>
    <col collapsed="false" customWidth="true" hidden="false" outlineLevel="0" max="8" min="8" style="1" width="60"/>
  </cols>
  <sheetData>
    <row r="1" customFormat="false" ht="30" hidden="false" customHeight="true" outlineLevel="0" collapsed="false">
      <c r="A1" s="7" t="s">
        <v>46</v>
      </c>
      <c r="B1" s="7" t="s">
        <v>333</v>
      </c>
      <c r="C1" s="7" t="s">
        <v>47</v>
      </c>
      <c r="D1" s="7" t="s">
        <v>334</v>
      </c>
      <c r="E1" s="7" t="s">
        <v>335</v>
      </c>
      <c r="F1" s="7" t="s">
        <v>336</v>
      </c>
      <c r="G1" s="7" t="s">
        <v>53</v>
      </c>
      <c r="H1" s="7" t="s">
        <v>337</v>
      </c>
    </row>
    <row r="2" customFormat="false" ht="23.25" hidden="false" customHeight="true" outlineLevel="0" collapsed="false">
      <c r="A2" s="9" t="s">
        <v>338</v>
      </c>
      <c r="B2" s="9" t="s">
        <v>339</v>
      </c>
      <c r="C2" s="10" t="s">
        <v>340</v>
      </c>
      <c r="D2" s="9" t="s">
        <v>341</v>
      </c>
      <c r="E2" s="9" t="s">
        <v>342</v>
      </c>
      <c r="F2" s="10" t="s">
        <v>343</v>
      </c>
      <c r="G2" s="9" t="s">
        <v>70</v>
      </c>
      <c r="H2" s="10" t="s">
        <v>344</v>
      </c>
    </row>
    <row r="3" customFormat="false" ht="23.25" hidden="false" customHeight="true" outlineLevel="0" collapsed="false">
      <c r="A3" s="9" t="s">
        <v>345</v>
      </c>
      <c r="B3" s="9" t="s">
        <v>339</v>
      </c>
      <c r="C3" s="10" t="s">
        <v>346</v>
      </c>
      <c r="D3" s="9" t="s">
        <v>341</v>
      </c>
      <c r="E3" s="9" t="s">
        <v>342</v>
      </c>
      <c r="F3" s="10" t="s">
        <v>347</v>
      </c>
      <c r="G3" s="9" t="s">
        <v>70</v>
      </c>
      <c r="H3" s="10" t="s">
        <v>344</v>
      </c>
    </row>
    <row r="4" customFormat="false" ht="23.25" hidden="false" customHeight="true" outlineLevel="0" collapsed="false">
      <c r="A4" s="9" t="s">
        <v>348</v>
      </c>
      <c r="B4" s="9" t="s">
        <v>349</v>
      </c>
      <c r="C4" s="10" t="s">
        <v>350</v>
      </c>
      <c r="D4" s="9" t="s">
        <v>341</v>
      </c>
      <c r="E4" s="9" t="s">
        <v>351</v>
      </c>
      <c r="F4" s="10" t="s">
        <v>352</v>
      </c>
      <c r="G4" s="9" t="s">
        <v>70</v>
      </c>
      <c r="H4" s="10" t="s">
        <v>344</v>
      </c>
    </row>
    <row r="5" customFormat="false" ht="23.25" hidden="false" customHeight="true" outlineLevel="0" collapsed="false">
      <c r="A5" s="9" t="s">
        <v>353</v>
      </c>
      <c r="B5" s="9" t="s">
        <v>349</v>
      </c>
      <c r="C5" s="10" t="s">
        <v>354</v>
      </c>
      <c r="D5" s="9" t="s">
        <v>341</v>
      </c>
      <c r="E5" s="9" t="s">
        <v>351</v>
      </c>
      <c r="F5" s="10" t="s">
        <v>355</v>
      </c>
      <c r="G5" s="9" t="s">
        <v>70</v>
      </c>
      <c r="H5" s="10" t="s">
        <v>344</v>
      </c>
    </row>
    <row r="6" customFormat="false" ht="68.25" hidden="false" customHeight="true" outlineLevel="0" collapsed="false">
      <c r="A6" s="9" t="s">
        <v>356</v>
      </c>
      <c r="B6" s="9" t="s">
        <v>357</v>
      </c>
      <c r="C6" s="10" t="s">
        <v>358</v>
      </c>
      <c r="D6" s="9" t="s">
        <v>65</v>
      </c>
      <c r="E6" s="9" t="s">
        <v>359</v>
      </c>
      <c r="F6" s="10" t="s">
        <v>360</v>
      </c>
      <c r="G6" s="9" t="s">
        <v>361</v>
      </c>
      <c r="H6" s="10" t="s">
        <v>344</v>
      </c>
    </row>
    <row r="7" customFormat="false" ht="34.5" hidden="false" customHeight="true" outlineLevel="0" collapsed="false">
      <c r="A7" s="9" t="s">
        <v>362</v>
      </c>
      <c r="B7" s="9" t="s">
        <v>363</v>
      </c>
      <c r="C7" s="10" t="s">
        <v>364</v>
      </c>
      <c r="D7" s="9" t="s">
        <v>65</v>
      </c>
      <c r="E7" s="9" t="s">
        <v>365</v>
      </c>
      <c r="F7" s="10" t="s">
        <v>366</v>
      </c>
      <c r="G7" s="9" t="s">
        <v>367</v>
      </c>
      <c r="H7" s="10" t="s">
        <v>344</v>
      </c>
    </row>
    <row r="8" customFormat="false" ht="23.25" hidden="false" customHeight="true" outlineLevel="0" collapsed="false">
      <c r="A8" s="9" t="s">
        <v>368</v>
      </c>
      <c r="B8" s="9" t="s">
        <v>349</v>
      </c>
      <c r="C8" s="10" t="s">
        <v>369</v>
      </c>
      <c r="D8" s="9" t="s">
        <v>210</v>
      </c>
      <c r="E8" s="9" t="s">
        <v>370</v>
      </c>
      <c r="F8" s="10" t="s">
        <v>371</v>
      </c>
      <c r="G8" s="9" t="s">
        <v>372</v>
      </c>
      <c r="H8" s="10" t="s">
        <v>344</v>
      </c>
    </row>
    <row r="9" customFormat="false" ht="34.5" hidden="false" customHeight="true" outlineLevel="0" collapsed="false">
      <c r="A9" s="9" t="s">
        <v>373</v>
      </c>
      <c r="B9" s="9" t="s">
        <v>374</v>
      </c>
      <c r="C9" s="10" t="s">
        <v>375</v>
      </c>
      <c r="D9" s="9" t="s">
        <v>210</v>
      </c>
      <c r="E9" s="9" t="s">
        <v>376</v>
      </c>
      <c r="F9" s="10" t="s">
        <v>377</v>
      </c>
      <c r="G9" s="9" t="s">
        <v>367</v>
      </c>
      <c r="H9" s="10" t="s">
        <v>344</v>
      </c>
    </row>
    <row r="10" customFormat="false" ht="23.25" hidden="false" customHeight="true" outlineLevel="0" collapsed="false">
      <c r="A10" s="9" t="s">
        <v>378</v>
      </c>
      <c r="B10" s="9" t="s">
        <v>379</v>
      </c>
      <c r="C10" s="10" t="s">
        <v>380</v>
      </c>
      <c r="D10" s="9" t="s">
        <v>65</v>
      </c>
      <c r="E10" s="9" t="s">
        <v>365</v>
      </c>
      <c r="F10" s="10" t="s">
        <v>381</v>
      </c>
      <c r="G10" s="9" t="s">
        <v>367</v>
      </c>
      <c r="H10" s="10" t="s">
        <v>344</v>
      </c>
    </row>
    <row r="11" customFormat="false" ht="68.65" hidden="false" customHeight="false" outlineLevel="0" collapsed="false">
      <c r="A11" s="9" t="s">
        <v>382</v>
      </c>
      <c r="B11" s="9" t="s">
        <v>357</v>
      </c>
      <c r="C11" s="10" t="s">
        <v>383</v>
      </c>
      <c r="D11" s="9" t="s">
        <v>65</v>
      </c>
      <c r="E11" s="9" t="s">
        <v>365</v>
      </c>
      <c r="F11" s="10" t="s">
        <v>384</v>
      </c>
      <c r="G11" s="9" t="s">
        <v>385</v>
      </c>
      <c r="H11" s="10" t="s">
        <v>344</v>
      </c>
    </row>
    <row r="12" customFormat="false" ht="46.25" hidden="false" customHeight="false" outlineLevel="0" collapsed="false">
      <c r="A12" s="9" t="s">
        <v>386</v>
      </c>
      <c r="B12" s="9" t="s">
        <v>387</v>
      </c>
      <c r="C12" s="10" t="s">
        <v>388</v>
      </c>
      <c r="D12" s="9" t="s">
        <v>65</v>
      </c>
      <c r="E12" s="9" t="s">
        <v>365</v>
      </c>
      <c r="F12" s="10" t="s">
        <v>389</v>
      </c>
      <c r="G12" s="9" t="s">
        <v>390</v>
      </c>
      <c r="H12" s="10" t="s">
        <v>344</v>
      </c>
    </row>
  </sheetData>
  <autoFilter ref="A1:H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10"/>
  </cols>
  <sheetData>
    <row r="1" customFormat="false" ht="30" hidden="false" customHeight="true" outlineLevel="0" collapsed="false">
      <c r="A1" s="7" t="s">
        <v>391</v>
      </c>
      <c r="B1" s="7" t="s">
        <v>392</v>
      </c>
    </row>
    <row r="2" customFormat="false" ht="15" hidden="false" customHeight="true" outlineLevel="0" collapsed="false">
      <c r="A2" s="9" t="s">
        <v>393</v>
      </c>
      <c r="B2" s="10" t="s">
        <v>394</v>
      </c>
    </row>
    <row r="3" customFormat="false" ht="15" hidden="false" customHeight="true" outlineLevel="0" collapsed="false">
      <c r="A3" s="9" t="s">
        <v>395</v>
      </c>
      <c r="B3" s="10" t="s">
        <v>396</v>
      </c>
    </row>
    <row r="4" customFormat="false" ht="15" hidden="false" customHeight="true" outlineLevel="0" collapsed="false">
      <c r="A4" s="9" t="s">
        <v>397</v>
      </c>
      <c r="B4" s="10" t="s">
        <v>398</v>
      </c>
    </row>
    <row r="5" customFormat="false" ht="15" hidden="false" customHeight="true" outlineLevel="0" collapsed="false">
      <c r="A5" s="9" t="s">
        <v>399</v>
      </c>
      <c r="B5" s="10" t="s">
        <v>400</v>
      </c>
    </row>
    <row r="6" customFormat="false" ht="15" hidden="false" customHeight="true" outlineLevel="0" collapsed="false">
      <c r="A6" s="9" t="s">
        <v>401</v>
      </c>
      <c r="B6" s="10" t="s">
        <v>402</v>
      </c>
    </row>
    <row r="7" customFormat="false" ht="15" hidden="false" customHeight="true" outlineLevel="0" collapsed="false">
      <c r="A7" s="9" t="s">
        <v>403</v>
      </c>
      <c r="B7" s="10" t="s">
        <v>404</v>
      </c>
    </row>
    <row r="8" customFormat="false" ht="15" hidden="false" customHeight="true" outlineLevel="0" collapsed="false">
      <c r="A8" s="9" t="s">
        <v>405</v>
      </c>
      <c r="B8" s="10" t="s">
        <v>406</v>
      </c>
    </row>
    <row r="9" customFormat="false" ht="15" hidden="false" customHeight="false" outlineLevel="0" collapsed="false">
      <c r="A9" s="9" t="s">
        <v>407</v>
      </c>
      <c r="B9" s="10" t="s">
        <v>408</v>
      </c>
    </row>
    <row r="10" customFormat="false" ht="23.85" hidden="false" customHeight="false" outlineLevel="0" collapsed="false">
      <c r="A10" s="9" t="s">
        <v>409</v>
      </c>
      <c r="B10" s="10" t="s">
        <v>410</v>
      </c>
    </row>
    <row r="11" customFormat="false" ht="23.85" hidden="false" customHeight="false" outlineLevel="0" collapsed="false">
      <c r="A11" s="9" t="s">
        <v>411</v>
      </c>
      <c r="B11" s="10" t="s">
        <v>412</v>
      </c>
    </row>
    <row r="12" customFormat="false" ht="15" hidden="false" customHeight="false" outlineLevel="0" collapsed="false">
      <c r="A12" s="9" t="s">
        <v>413</v>
      </c>
      <c r="B12" s="10" t="s">
        <v>414</v>
      </c>
    </row>
    <row r="13" customFormat="false" ht="15" hidden="false" customHeight="false" outlineLevel="0" collapsed="false">
      <c r="A13" s="9" t="s">
        <v>415</v>
      </c>
      <c r="B13" s="10" t="s">
        <v>416</v>
      </c>
    </row>
  </sheetData>
  <autoFilter ref="A1:B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3" min="3" style="1" width="9"/>
    <col collapsed="false" customWidth="true" hidden="false" outlineLevel="0" max="4" min="4" style="1" width="12"/>
    <col collapsed="false" customWidth="true" hidden="false" outlineLevel="0" max="5" min="5" style="1" width="70"/>
  </cols>
  <sheetData>
    <row r="1" customFormat="false" ht="30" hidden="false" customHeight="true" outlineLevel="0" collapsed="false">
      <c r="A1" s="7" t="s">
        <v>417</v>
      </c>
      <c r="B1" s="7" t="s">
        <v>333</v>
      </c>
      <c r="C1" s="7" t="s">
        <v>334</v>
      </c>
      <c r="D1" s="7" t="s">
        <v>418</v>
      </c>
      <c r="E1" s="7" t="s">
        <v>419</v>
      </c>
    </row>
    <row r="2" customFormat="false" ht="15" hidden="false" customHeight="true" outlineLevel="0" collapsed="false">
      <c r="A2" s="9" t="s">
        <v>420</v>
      </c>
      <c r="B2" s="9" t="s">
        <v>349</v>
      </c>
      <c r="C2" s="9" t="s">
        <v>210</v>
      </c>
      <c r="D2" s="9" t="n">
        <v>20</v>
      </c>
      <c r="E2" s="9" t="s">
        <v>421</v>
      </c>
    </row>
    <row r="3" customFormat="false" ht="15" hidden="false" customHeight="true" outlineLevel="0" collapsed="false">
      <c r="A3" s="9" t="s">
        <v>422</v>
      </c>
      <c r="B3" s="9" t="s">
        <v>374</v>
      </c>
      <c r="C3" s="9" t="s">
        <v>210</v>
      </c>
      <c r="D3" s="9" t="n">
        <v>24</v>
      </c>
      <c r="E3" s="9" t="s">
        <v>421</v>
      </c>
    </row>
    <row r="4" customFormat="false" ht="15" hidden="false" customHeight="true" outlineLevel="0" collapsed="false">
      <c r="A4" s="9" t="s">
        <v>423</v>
      </c>
      <c r="B4" s="9" t="s">
        <v>349</v>
      </c>
      <c r="C4" s="9" t="s">
        <v>210</v>
      </c>
      <c r="D4" s="9" t="n">
        <v>24</v>
      </c>
      <c r="E4" s="9" t="s">
        <v>421</v>
      </c>
    </row>
    <row r="5" customFormat="false" ht="15" hidden="false" customHeight="true" outlineLevel="0" collapsed="false">
      <c r="A5" s="9" t="s">
        <v>424</v>
      </c>
      <c r="B5" s="9" t="s">
        <v>357</v>
      </c>
      <c r="C5" s="9" t="s">
        <v>210</v>
      </c>
      <c r="D5" s="9" t="n">
        <v>15</v>
      </c>
      <c r="E5" s="9" t="s">
        <v>421</v>
      </c>
    </row>
    <row r="6" customFormat="false" ht="15" hidden="false" customHeight="true" outlineLevel="0" collapsed="false">
      <c r="A6" s="9" t="s">
        <v>425</v>
      </c>
      <c r="B6" s="9" t="s">
        <v>426</v>
      </c>
      <c r="C6" s="9" t="s">
        <v>210</v>
      </c>
      <c r="D6" s="9" t="n">
        <v>12</v>
      </c>
      <c r="E6" s="9" t="s">
        <v>421</v>
      </c>
    </row>
    <row r="7" customFormat="false" ht="15" hidden="false" customHeight="true" outlineLevel="0" collapsed="false">
      <c r="A7" s="9" t="s">
        <v>427</v>
      </c>
      <c r="B7" s="9" t="s">
        <v>339</v>
      </c>
      <c r="C7" s="9" t="s">
        <v>210</v>
      </c>
      <c r="D7" s="9" t="n">
        <v>24</v>
      </c>
      <c r="E7" s="9" t="s">
        <v>421</v>
      </c>
    </row>
    <row r="8" customFormat="false" ht="15" hidden="false" customHeight="true" outlineLevel="0" collapsed="false">
      <c r="A8" s="9" t="s">
        <v>428</v>
      </c>
      <c r="B8" s="9" t="s">
        <v>374</v>
      </c>
      <c r="C8" s="9" t="s">
        <v>210</v>
      </c>
      <c r="D8" s="9" t="n">
        <v>24</v>
      </c>
      <c r="E8" s="9" t="s">
        <v>421</v>
      </c>
    </row>
    <row r="9" customFormat="false" ht="15" hidden="false" customHeight="true" outlineLevel="0" collapsed="false">
      <c r="A9" s="9" t="s">
        <v>429</v>
      </c>
      <c r="B9" s="9" t="s">
        <v>357</v>
      </c>
      <c r="C9" s="9" t="s">
        <v>210</v>
      </c>
      <c r="D9" s="9" t="n">
        <v>10</v>
      </c>
      <c r="E9" s="9" t="s">
        <v>421</v>
      </c>
    </row>
    <row r="10" customFormat="false" ht="15" hidden="false" customHeight="true" outlineLevel="0" collapsed="false">
      <c r="A10" s="9" t="s">
        <v>430</v>
      </c>
      <c r="B10" s="9" t="s">
        <v>374</v>
      </c>
      <c r="C10" s="9" t="s">
        <v>210</v>
      </c>
      <c r="D10" s="9" t="n">
        <v>18</v>
      </c>
      <c r="E10" s="9" t="s">
        <v>421</v>
      </c>
    </row>
    <row r="11" customFormat="false" ht="15" hidden="false" customHeight="true" outlineLevel="0" collapsed="false">
      <c r="A11" s="9" t="s">
        <v>431</v>
      </c>
      <c r="B11" s="9" t="s">
        <v>357</v>
      </c>
      <c r="C11" s="9" t="s">
        <v>210</v>
      </c>
      <c r="D11" s="9" t="n">
        <v>18</v>
      </c>
      <c r="E11" s="9" t="s">
        <v>421</v>
      </c>
    </row>
    <row r="12" customFormat="false" ht="15" hidden="false" customHeight="true" outlineLevel="0" collapsed="false">
      <c r="A12" s="9" t="s">
        <v>432</v>
      </c>
      <c r="B12" s="9" t="s">
        <v>374</v>
      </c>
      <c r="C12" s="9" t="s">
        <v>210</v>
      </c>
      <c r="D12" s="9" t="n">
        <v>24</v>
      </c>
      <c r="E12" s="9" t="s">
        <v>421</v>
      </c>
    </row>
    <row r="13" customFormat="false" ht="15" hidden="false" customHeight="true" outlineLevel="0" collapsed="false">
      <c r="A13" s="9" t="s">
        <v>433</v>
      </c>
      <c r="B13" s="9" t="s">
        <v>349</v>
      </c>
      <c r="C13" s="9" t="s">
        <v>210</v>
      </c>
      <c r="D13" s="9" t="n">
        <v>20</v>
      </c>
      <c r="E13" s="9" t="s">
        <v>421</v>
      </c>
    </row>
    <row r="14" customFormat="false" ht="15" hidden="false" customHeight="true" outlineLevel="0" collapsed="false">
      <c r="A14" s="9" t="s">
        <v>434</v>
      </c>
      <c r="B14" s="9" t="s">
        <v>339</v>
      </c>
      <c r="C14" s="9" t="s">
        <v>210</v>
      </c>
      <c r="D14" s="9" t="n">
        <v>12</v>
      </c>
      <c r="E14" s="9" t="s">
        <v>421</v>
      </c>
    </row>
    <row r="15" customFormat="false" ht="15" hidden="false" customHeight="true" outlineLevel="0" collapsed="false">
      <c r="A15" s="9" t="s">
        <v>435</v>
      </c>
      <c r="B15" s="9" t="s">
        <v>374</v>
      </c>
      <c r="C15" s="9" t="s">
        <v>210</v>
      </c>
      <c r="D15" s="9" t="n">
        <v>24</v>
      </c>
      <c r="E15" s="9" t="s">
        <v>421</v>
      </c>
    </row>
    <row r="16" customFormat="false" ht="15" hidden="false" customHeight="true" outlineLevel="0" collapsed="false">
      <c r="A16" s="9" t="s">
        <v>436</v>
      </c>
      <c r="B16" s="9" t="s">
        <v>349</v>
      </c>
      <c r="C16" s="9" t="s">
        <v>210</v>
      </c>
      <c r="D16" s="9" t="n">
        <v>24</v>
      </c>
      <c r="E16" s="9" t="s">
        <v>421</v>
      </c>
    </row>
    <row r="17" customFormat="false" ht="15" hidden="false" customHeight="true" outlineLevel="0" collapsed="false">
      <c r="A17" s="9" t="s">
        <v>437</v>
      </c>
      <c r="B17" s="9" t="s">
        <v>426</v>
      </c>
      <c r="C17" s="9" t="s">
        <v>210</v>
      </c>
      <c r="D17" s="9" t="n">
        <v>8</v>
      </c>
      <c r="E17" s="9" t="s">
        <v>421</v>
      </c>
    </row>
    <row r="18" customFormat="false" ht="15" hidden="false" customHeight="true" outlineLevel="0" collapsed="false">
      <c r="A18" s="9" t="s">
        <v>438</v>
      </c>
      <c r="B18" s="9" t="s">
        <v>349</v>
      </c>
      <c r="C18" s="9" t="s">
        <v>210</v>
      </c>
      <c r="D18" s="9" t="n">
        <v>23</v>
      </c>
      <c r="E18" s="9" t="s">
        <v>421</v>
      </c>
    </row>
    <row r="19" customFormat="false" ht="15" hidden="false" customHeight="true" outlineLevel="0" collapsed="false">
      <c r="A19" s="9" t="s">
        <v>439</v>
      </c>
      <c r="B19" s="9" t="s">
        <v>357</v>
      </c>
      <c r="C19" s="9" t="s">
        <v>210</v>
      </c>
      <c r="D19" s="9" t="n">
        <v>12</v>
      </c>
      <c r="E19" s="9" t="s">
        <v>421</v>
      </c>
    </row>
    <row r="20" customFormat="false" ht="15" hidden="false" customHeight="true" outlineLevel="0" collapsed="false">
      <c r="A20" s="9" t="s">
        <v>440</v>
      </c>
      <c r="B20" s="9" t="s">
        <v>374</v>
      </c>
      <c r="C20" s="9" t="s">
        <v>210</v>
      </c>
      <c r="D20" s="9" t="n">
        <v>24</v>
      </c>
      <c r="E20" s="9" t="s">
        <v>421</v>
      </c>
    </row>
    <row r="21" customFormat="false" ht="15" hidden="false" customHeight="true" outlineLevel="0" collapsed="false">
      <c r="A21" s="9" t="s">
        <v>441</v>
      </c>
      <c r="B21" s="9" t="s">
        <v>374</v>
      </c>
      <c r="C21" s="9" t="s">
        <v>210</v>
      </c>
      <c r="D21" s="9" t="n">
        <v>24</v>
      </c>
      <c r="E21" s="9" t="s">
        <v>421</v>
      </c>
    </row>
    <row r="22" customFormat="false" ht="15" hidden="false" customHeight="true" outlineLevel="0" collapsed="false">
      <c r="A22" s="9" t="s">
        <v>442</v>
      </c>
      <c r="B22" s="9" t="s">
        <v>339</v>
      </c>
      <c r="C22" s="9" t="s">
        <v>210</v>
      </c>
      <c r="D22" s="9" t="n">
        <v>24</v>
      </c>
      <c r="E22" s="9" t="s">
        <v>421</v>
      </c>
    </row>
    <row r="23" customFormat="false" ht="15" hidden="false" customHeight="true" outlineLevel="0" collapsed="false">
      <c r="A23" s="9" t="s">
        <v>443</v>
      </c>
      <c r="B23" s="9" t="s">
        <v>339</v>
      </c>
      <c r="C23" s="9" t="s">
        <v>210</v>
      </c>
      <c r="D23" s="9" t="n">
        <v>20</v>
      </c>
      <c r="E23" s="9" t="s">
        <v>421</v>
      </c>
    </row>
    <row r="24" customFormat="false" ht="15" hidden="false" customHeight="true" outlineLevel="0" collapsed="false">
      <c r="A24" s="9" t="s">
        <v>444</v>
      </c>
      <c r="B24" s="9" t="s">
        <v>445</v>
      </c>
      <c r="C24" s="9" t="s">
        <v>210</v>
      </c>
      <c r="D24" s="9" t="n">
        <v>1</v>
      </c>
      <c r="E24" s="9" t="s">
        <v>421</v>
      </c>
    </row>
    <row r="25" customFormat="false" ht="15" hidden="false" customHeight="true" outlineLevel="0" collapsed="false">
      <c r="A25" s="9" t="s">
        <v>446</v>
      </c>
      <c r="B25" s="9" t="s">
        <v>374</v>
      </c>
      <c r="C25" s="9" t="s">
        <v>210</v>
      </c>
      <c r="D25" s="9" t="n">
        <v>24</v>
      </c>
      <c r="E25" s="9" t="s">
        <v>421</v>
      </c>
    </row>
    <row r="26" customFormat="false" ht="15" hidden="false" customHeight="true" outlineLevel="0" collapsed="false">
      <c r="A26" s="9" t="s">
        <v>447</v>
      </c>
      <c r="B26" s="9" t="s">
        <v>374</v>
      </c>
      <c r="C26" s="9" t="s">
        <v>210</v>
      </c>
      <c r="D26" s="9" t="n">
        <v>24</v>
      </c>
      <c r="E26" s="9" t="s">
        <v>421</v>
      </c>
    </row>
    <row r="27" customFormat="false" ht="15" hidden="false" customHeight="true" outlineLevel="0" collapsed="false">
      <c r="A27" s="9" t="s">
        <v>448</v>
      </c>
      <c r="B27" s="9" t="s">
        <v>426</v>
      </c>
      <c r="C27" s="9" t="s">
        <v>210</v>
      </c>
      <c r="D27" s="9" t="n">
        <v>12</v>
      </c>
      <c r="E27" s="9" t="s">
        <v>421</v>
      </c>
    </row>
    <row r="28" customFormat="false" ht="15" hidden="false" customHeight="true" outlineLevel="0" collapsed="false">
      <c r="A28" s="9" t="s">
        <v>449</v>
      </c>
      <c r="B28" s="9" t="s">
        <v>374</v>
      </c>
      <c r="C28" s="9" t="s">
        <v>210</v>
      </c>
      <c r="D28" s="9" t="n">
        <v>24</v>
      </c>
      <c r="E28" s="9" t="s">
        <v>421</v>
      </c>
    </row>
    <row r="29" customFormat="false" ht="15" hidden="false" customHeight="true" outlineLevel="0" collapsed="false">
      <c r="A29" s="9" t="s">
        <v>450</v>
      </c>
      <c r="B29" s="9" t="s">
        <v>339</v>
      </c>
      <c r="C29" s="9" t="s">
        <v>210</v>
      </c>
      <c r="D29" s="9" t="n">
        <v>24</v>
      </c>
      <c r="E29" s="9" t="s">
        <v>421</v>
      </c>
    </row>
    <row r="30" customFormat="false" ht="15" hidden="false" customHeight="true" outlineLevel="0" collapsed="false">
      <c r="A30" s="9" t="s">
        <v>451</v>
      </c>
      <c r="B30" s="9" t="s">
        <v>374</v>
      </c>
      <c r="C30" s="9" t="s">
        <v>210</v>
      </c>
      <c r="D30" s="9" t="n">
        <v>24</v>
      </c>
      <c r="E30" s="9" t="s">
        <v>421</v>
      </c>
    </row>
    <row r="31" customFormat="false" ht="15" hidden="false" customHeight="true" outlineLevel="0" collapsed="false">
      <c r="A31" s="9" t="s">
        <v>452</v>
      </c>
      <c r="B31" s="9" t="s">
        <v>339</v>
      </c>
      <c r="C31" s="9" t="s">
        <v>210</v>
      </c>
      <c r="D31" s="9" t="n">
        <v>24</v>
      </c>
      <c r="E31" s="9" t="s">
        <v>421</v>
      </c>
    </row>
    <row r="32" customFormat="false" ht="15" hidden="false" customHeight="true" outlineLevel="0" collapsed="false">
      <c r="A32" s="9" t="s">
        <v>453</v>
      </c>
      <c r="B32" s="9" t="s">
        <v>374</v>
      </c>
      <c r="C32" s="9" t="s">
        <v>210</v>
      </c>
      <c r="D32" s="9" t="n">
        <v>20</v>
      </c>
      <c r="E32" s="9" t="s">
        <v>421</v>
      </c>
    </row>
    <row r="33" customFormat="false" ht="15" hidden="false" customHeight="true" outlineLevel="0" collapsed="false">
      <c r="A33" s="9" t="s">
        <v>454</v>
      </c>
      <c r="B33" s="9" t="s">
        <v>339</v>
      </c>
      <c r="C33" s="9" t="s">
        <v>210</v>
      </c>
      <c r="D33" s="9" t="n">
        <v>24</v>
      </c>
      <c r="E33" s="9" t="s">
        <v>421</v>
      </c>
    </row>
    <row r="34" customFormat="false" ht="15" hidden="false" customHeight="true" outlineLevel="0" collapsed="false">
      <c r="A34" s="9" t="s">
        <v>455</v>
      </c>
      <c r="B34" s="9" t="s">
        <v>456</v>
      </c>
      <c r="C34" s="9" t="s">
        <v>210</v>
      </c>
      <c r="D34" s="9" t="n">
        <v>4</v>
      </c>
      <c r="E34" s="9" t="s">
        <v>457</v>
      </c>
    </row>
    <row r="35" customFormat="false" ht="15" hidden="false" customHeight="true" outlineLevel="0" collapsed="false">
      <c r="A35" s="9" t="s">
        <v>458</v>
      </c>
      <c r="B35" s="9" t="s">
        <v>456</v>
      </c>
      <c r="C35" s="9" t="s">
        <v>210</v>
      </c>
      <c r="D35" s="9" t="n">
        <v>2</v>
      </c>
      <c r="E35" s="9" t="s">
        <v>457</v>
      </c>
    </row>
    <row r="36" customFormat="false" ht="15" hidden="false" customHeight="true" outlineLevel="0" collapsed="false">
      <c r="A36" s="9" t="s">
        <v>459</v>
      </c>
      <c r="B36" s="9" t="s">
        <v>456</v>
      </c>
      <c r="C36" s="9" t="s">
        <v>210</v>
      </c>
      <c r="D36" s="9" t="n">
        <v>1</v>
      </c>
      <c r="E36" s="9" t="s">
        <v>457</v>
      </c>
    </row>
    <row r="37" customFormat="false" ht="15" hidden="false" customHeight="true" outlineLevel="0" collapsed="false">
      <c r="A37" s="9" t="s">
        <v>460</v>
      </c>
      <c r="B37" s="9" t="s">
        <v>357</v>
      </c>
      <c r="C37" s="9" t="s">
        <v>210</v>
      </c>
      <c r="D37" s="9" t="n">
        <v>12</v>
      </c>
      <c r="E37" s="9" t="s">
        <v>457</v>
      </c>
    </row>
    <row r="38" customFormat="false" ht="15" hidden="false" customHeight="true" outlineLevel="0" collapsed="false">
      <c r="A38" s="9" t="s">
        <v>461</v>
      </c>
      <c r="B38" s="9" t="s">
        <v>462</v>
      </c>
      <c r="C38" s="9" t="s">
        <v>66</v>
      </c>
      <c r="D38" s="9" t="n">
        <v>1</v>
      </c>
      <c r="E38" s="9" t="s">
        <v>463</v>
      </c>
    </row>
    <row r="39" customFormat="false" ht="15" hidden="false" customHeight="true" outlineLevel="0" collapsed="false">
      <c r="A39" s="9" t="s">
        <v>464</v>
      </c>
      <c r="B39" s="9" t="s">
        <v>462</v>
      </c>
      <c r="C39" s="9" t="s">
        <v>66</v>
      </c>
      <c r="D39" s="9" t="n">
        <v>2</v>
      </c>
      <c r="E39" s="9" t="s">
        <v>463</v>
      </c>
    </row>
    <row r="40" customFormat="false" ht="15" hidden="false" customHeight="true" outlineLevel="0" collapsed="false">
      <c r="A40" s="9" t="s">
        <v>465</v>
      </c>
      <c r="B40" s="9" t="s">
        <v>462</v>
      </c>
      <c r="C40" s="9" t="s">
        <v>101</v>
      </c>
      <c r="D40" s="9" t="n">
        <v>2</v>
      </c>
      <c r="E40" s="9" t="s">
        <v>463</v>
      </c>
    </row>
    <row r="41" customFormat="false" ht="15" hidden="false" customHeight="true" outlineLevel="0" collapsed="false">
      <c r="A41" s="9" t="s">
        <v>466</v>
      </c>
      <c r="B41" s="9" t="s">
        <v>445</v>
      </c>
      <c r="C41" s="9" t="s">
        <v>210</v>
      </c>
      <c r="D41" s="9" t="n">
        <v>2</v>
      </c>
      <c r="E41" s="9" t="s">
        <v>467</v>
      </c>
    </row>
    <row r="42" customFormat="false" ht="15" hidden="false" customHeight="true" outlineLevel="0" collapsed="false">
      <c r="A42" s="9" t="s">
        <v>468</v>
      </c>
      <c r="B42" s="9" t="s">
        <v>469</v>
      </c>
      <c r="C42" s="9" t="s">
        <v>210</v>
      </c>
      <c r="D42" s="9" t="n">
        <v>2</v>
      </c>
      <c r="E42" s="9" t="s">
        <v>470</v>
      </c>
    </row>
    <row r="43" customFormat="false" ht="15" hidden="false" customHeight="true" outlineLevel="0" collapsed="false">
      <c r="A43" s="9" t="s">
        <v>471</v>
      </c>
      <c r="B43" s="9" t="s">
        <v>472</v>
      </c>
      <c r="C43" s="9" t="s">
        <v>210</v>
      </c>
      <c r="D43" s="9" t="n">
        <v>1</v>
      </c>
      <c r="E43" s="9" t="s">
        <v>473</v>
      </c>
    </row>
    <row r="44" customFormat="false" ht="15" hidden="false" customHeight="true" outlineLevel="0" collapsed="false">
      <c r="A44" s="9" t="s">
        <v>474</v>
      </c>
      <c r="B44" s="9" t="s">
        <v>475</v>
      </c>
      <c r="C44" s="9" t="s">
        <v>210</v>
      </c>
      <c r="D44" s="9" t="n">
        <v>1</v>
      </c>
      <c r="E44" s="9" t="s">
        <v>476</v>
      </c>
    </row>
    <row r="45" customFormat="false" ht="15" hidden="false" customHeight="true" outlineLevel="0" collapsed="false">
      <c r="A45" s="9" t="s">
        <v>477</v>
      </c>
      <c r="B45" s="9" t="s">
        <v>475</v>
      </c>
      <c r="C45" s="9" t="s">
        <v>210</v>
      </c>
      <c r="D45" s="9" t="n">
        <v>1</v>
      </c>
      <c r="E45" s="9" t="s">
        <v>476</v>
      </c>
    </row>
    <row r="46" customFormat="false" ht="15" hidden="false" customHeight="true" outlineLevel="0" collapsed="false">
      <c r="A46" s="9" t="s">
        <v>478</v>
      </c>
      <c r="B46" s="9" t="s">
        <v>479</v>
      </c>
      <c r="C46" s="9" t="s">
        <v>210</v>
      </c>
      <c r="D46" s="9" t="n">
        <v>1</v>
      </c>
      <c r="E46" s="9" t="s">
        <v>480</v>
      </c>
    </row>
    <row r="47" customFormat="false" ht="15" hidden="false" customHeight="true" outlineLevel="0" collapsed="false">
      <c r="A47" s="9" t="s">
        <v>481</v>
      </c>
      <c r="B47" s="9" t="s">
        <v>479</v>
      </c>
      <c r="C47" s="9" t="s">
        <v>210</v>
      </c>
      <c r="D47" s="9" t="n">
        <v>1</v>
      </c>
      <c r="E47" s="9" t="s">
        <v>482</v>
      </c>
    </row>
    <row r="48" customFormat="false" ht="15" hidden="false" customHeight="true" outlineLevel="0" collapsed="false">
      <c r="A48" s="9" t="s">
        <v>483</v>
      </c>
      <c r="B48" s="9" t="s">
        <v>236</v>
      </c>
      <c r="C48" s="9" t="s">
        <v>210</v>
      </c>
      <c r="D48" s="9" t="n">
        <v>1</v>
      </c>
      <c r="E48" s="9" t="s">
        <v>484</v>
      </c>
    </row>
    <row r="49" customFormat="false" ht="15" hidden="false" customHeight="true" outlineLevel="0" collapsed="false">
      <c r="A49" s="9" t="s">
        <v>485</v>
      </c>
      <c r="B49" s="9" t="s">
        <v>236</v>
      </c>
      <c r="C49" s="9" t="s">
        <v>210</v>
      </c>
      <c r="D49" s="9" t="n">
        <v>1</v>
      </c>
      <c r="E49" s="9" t="s">
        <v>484</v>
      </c>
    </row>
    <row r="50" customFormat="false" ht="15" hidden="false" customHeight="true" outlineLevel="0" collapsed="false">
      <c r="A50" s="9" t="s">
        <v>486</v>
      </c>
      <c r="B50" s="9" t="s">
        <v>236</v>
      </c>
      <c r="C50" s="9" t="s">
        <v>210</v>
      </c>
      <c r="D50" s="9" t="n">
        <v>1</v>
      </c>
      <c r="E50" s="9" t="s">
        <v>487</v>
      </c>
    </row>
    <row r="51" customFormat="false" ht="15" hidden="false" customHeight="true" outlineLevel="0" collapsed="false">
      <c r="A51" s="9" t="s">
        <v>488</v>
      </c>
      <c r="B51" s="9" t="s">
        <v>236</v>
      </c>
      <c r="C51" s="9" t="s">
        <v>210</v>
      </c>
      <c r="D51" s="9" t="n">
        <v>1</v>
      </c>
      <c r="E51" s="9" t="s">
        <v>489</v>
      </c>
    </row>
    <row r="52" customFormat="false" ht="15" hidden="false" customHeight="true" outlineLevel="0" collapsed="false">
      <c r="A52" s="9" t="s">
        <v>490</v>
      </c>
      <c r="B52" s="9" t="s">
        <v>236</v>
      </c>
      <c r="C52" s="9" t="s">
        <v>210</v>
      </c>
      <c r="D52" s="9" t="n">
        <v>1</v>
      </c>
      <c r="E52" s="9" t="s">
        <v>491</v>
      </c>
    </row>
    <row r="53" customFormat="false" ht="15" hidden="false" customHeight="true" outlineLevel="0" collapsed="false">
      <c r="A53" s="9" t="s">
        <v>492</v>
      </c>
      <c r="B53" s="9" t="s">
        <v>236</v>
      </c>
      <c r="C53" s="9" t="s">
        <v>210</v>
      </c>
      <c r="D53" s="9" t="n">
        <v>1</v>
      </c>
      <c r="E53" s="9" t="s">
        <v>491</v>
      </c>
    </row>
    <row r="54" customFormat="false" ht="15" hidden="false" customHeight="true" outlineLevel="0" collapsed="false">
      <c r="A54" s="9" t="s">
        <v>493</v>
      </c>
      <c r="B54" s="9" t="s">
        <v>494</v>
      </c>
      <c r="C54" s="9" t="s">
        <v>210</v>
      </c>
      <c r="D54" s="9" t="n">
        <v>1</v>
      </c>
      <c r="E54" s="9" t="s">
        <v>495</v>
      </c>
    </row>
    <row r="55" customFormat="false" ht="15" hidden="false" customHeight="true" outlineLevel="0" collapsed="false">
      <c r="A55" s="9" t="s">
        <v>496</v>
      </c>
      <c r="B55" s="9" t="s">
        <v>456</v>
      </c>
      <c r="C55" s="9" t="s">
        <v>210</v>
      </c>
      <c r="D55" s="9" t="n">
        <v>1</v>
      </c>
      <c r="E55" s="9" t="s">
        <v>497</v>
      </c>
    </row>
    <row r="56" customFormat="false" ht="15" hidden="false" customHeight="true" outlineLevel="0" collapsed="false">
      <c r="A56" s="9" t="s">
        <v>498</v>
      </c>
      <c r="B56" s="9" t="s">
        <v>494</v>
      </c>
      <c r="C56" s="9" t="s">
        <v>210</v>
      </c>
      <c r="D56" s="9" t="n">
        <v>1</v>
      </c>
      <c r="E56" s="9" t="s">
        <v>499</v>
      </c>
    </row>
    <row r="57" customFormat="false" ht="15" hidden="false" customHeight="true" outlineLevel="0" collapsed="false">
      <c r="A57" s="9" t="s">
        <v>500</v>
      </c>
      <c r="B57" s="9" t="s">
        <v>494</v>
      </c>
      <c r="C57" s="9" t="s">
        <v>210</v>
      </c>
      <c r="D57" s="9" t="n">
        <v>1</v>
      </c>
      <c r="E57" s="9" t="s">
        <v>501</v>
      </c>
    </row>
  </sheetData>
  <autoFilter ref="A1:E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0"/>
    <col collapsed="false" customWidth="true" hidden="false" outlineLevel="0" max="3" min="3" style="1" width="34"/>
    <col collapsed="false" customWidth="true" hidden="false" outlineLevel="0" max="4" min="4" style="1" width="18"/>
    <col collapsed="false" customWidth="true" hidden="false" outlineLevel="0" max="5" min="5" style="1" width="100"/>
  </cols>
  <sheetData>
    <row r="1" customFormat="false" ht="30" hidden="false" customHeight="true" outlineLevel="0" collapsed="false">
      <c r="A1" s="7" t="s">
        <v>502</v>
      </c>
      <c r="B1" s="7" t="s">
        <v>503</v>
      </c>
      <c r="C1" s="7" t="s">
        <v>504</v>
      </c>
      <c r="D1" s="7" t="s">
        <v>505</v>
      </c>
      <c r="E1" s="7" t="s">
        <v>506</v>
      </c>
    </row>
    <row r="2" customFormat="false" ht="23.25" hidden="false" customHeight="true" outlineLevel="0" collapsed="false">
      <c r="A2" s="9" t="s">
        <v>507</v>
      </c>
      <c r="B2" s="9" t="s">
        <v>508</v>
      </c>
      <c r="C2" s="9" t="s">
        <v>509</v>
      </c>
      <c r="D2" s="9" t="s">
        <v>510</v>
      </c>
      <c r="E2" s="10" t="s">
        <v>511</v>
      </c>
    </row>
    <row r="3" customFormat="false" ht="15" hidden="false" customHeight="true" outlineLevel="0" collapsed="false">
      <c r="A3" s="9" t="s">
        <v>507</v>
      </c>
      <c r="B3" s="9" t="s">
        <v>367</v>
      </c>
      <c r="C3" s="9" t="s">
        <v>509</v>
      </c>
      <c r="D3" s="9" t="s">
        <v>512</v>
      </c>
      <c r="E3" s="10" t="s">
        <v>513</v>
      </c>
    </row>
    <row r="4" customFormat="false" ht="15" hidden="false" customHeight="true" outlineLevel="0" collapsed="false">
      <c r="A4" s="9" t="s">
        <v>514</v>
      </c>
      <c r="B4" s="9" t="s">
        <v>367</v>
      </c>
      <c r="C4" s="9" t="s">
        <v>515</v>
      </c>
      <c r="D4" s="9" t="s">
        <v>516</v>
      </c>
      <c r="E4" s="10" t="s">
        <v>517</v>
      </c>
    </row>
    <row r="5" customFormat="false" ht="15" hidden="false" customHeight="true" outlineLevel="0" collapsed="false">
      <c r="A5" s="9" t="s">
        <v>518</v>
      </c>
      <c r="B5" s="9" t="s">
        <v>390</v>
      </c>
      <c r="C5" s="9" t="s">
        <v>519</v>
      </c>
      <c r="D5" s="9" t="s">
        <v>520</v>
      </c>
      <c r="E5" s="10" t="s">
        <v>521</v>
      </c>
    </row>
    <row r="6" customFormat="false" ht="15" hidden="false" customHeight="true" outlineLevel="0" collapsed="false">
      <c r="A6" s="9" t="s">
        <v>522</v>
      </c>
      <c r="B6" s="9" t="s">
        <v>390</v>
      </c>
      <c r="C6" s="9" t="s">
        <v>523</v>
      </c>
      <c r="D6" s="9" t="s">
        <v>520</v>
      </c>
      <c r="E6" s="10" t="s">
        <v>524</v>
      </c>
    </row>
    <row r="7" customFormat="false" ht="15" hidden="false" customHeight="true" outlineLevel="0" collapsed="false">
      <c r="A7" s="9" t="s">
        <v>522</v>
      </c>
      <c r="B7" s="9" t="s">
        <v>390</v>
      </c>
      <c r="C7" s="9" t="s">
        <v>525</v>
      </c>
      <c r="D7" s="9" t="s">
        <v>520</v>
      </c>
      <c r="E7" s="10" t="s">
        <v>526</v>
      </c>
    </row>
    <row r="8" customFormat="false" ht="23.25" hidden="false" customHeight="true" outlineLevel="0" collapsed="false">
      <c r="A8" s="9" t="s">
        <v>522</v>
      </c>
      <c r="B8" s="9" t="s">
        <v>390</v>
      </c>
      <c r="C8" s="9" t="s">
        <v>527</v>
      </c>
      <c r="D8" s="9" t="s">
        <v>520</v>
      </c>
      <c r="E8" s="10" t="s">
        <v>528</v>
      </c>
    </row>
    <row r="9" customFormat="false" ht="23.85" hidden="false" customHeight="false" outlineLevel="0" collapsed="false">
      <c r="A9" s="9" t="s">
        <v>514</v>
      </c>
      <c r="B9" s="9" t="s">
        <v>367</v>
      </c>
      <c r="C9" s="9" t="s">
        <v>529</v>
      </c>
      <c r="D9" s="9" t="s">
        <v>530</v>
      </c>
      <c r="E9" s="10" t="s">
        <v>531</v>
      </c>
    </row>
    <row r="10" customFormat="false" ht="15" hidden="false" customHeight="false" outlineLevel="0" collapsed="false">
      <c r="A10" s="9" t="s">
        <v>514</v>
      </c>
      <c r="B10" s="9" t="s">
        <v>390</v>
      </c>
      <c r="C10" s="9" t="s">
        <v>532</v>
      </c>
      <c r="D10" s="9" t="s">
        <v>520</v>
      </c>
      <c r="E10" s="10" t="s">
        <v>533</v>
      </c>
    </row>
    <row r="11" customFormat="false" ht="15" hidden="false" customHeight="false" outlineLevel="0" collapsed="false">
      <c r="A11" s="9" t="s">
        <v>514</v>
      </c>
      <c r="B11" s="9" t="s">
        <v>390</v>
      </c>
      <c r="C11" s="9" t="s">
        <v>534</v>
      </c>
      <c r="D11" s="9" t="s">
        <v>520</v>
      </c>
      <c r="E11" s="10" t="s">
        <v>535</v>
      </c>
    </row>
  </sheetData>
  <autoFilter ref="A1:E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7" min="2" style="0" width="14"/>
    <col collapsed="false" customWidth="true" hidden="false" outlineLevel="0" max="8" min="8" style="0" width="30"/>
  </cols>
  <sheetData>
    <row r="1" customFormat="false" ht="33.75" hidden="false" customHeight="true" outlineLevel="0" collapsed="false">
      <c r="A1" s="12" t="s">
        <v>536</v>
      </c>
      <c r="B1" s="12"/>
      <c r="C1" s="12"/>
      <c r="D1" s="12"/>
      <c r="E1" s="12"/>
      <c r="F1" s="12"/>
      <c r="G1" s="12"/>
      <c r="H1" s="12"/>
    </row>
    <row r="3" customFormat="false" ht="15" hidden="false" customHeight="false" outlineLevel="0" collapsed="false">
      <c r="A3" s="13" t="s">
        <v>537</v>
      </c>
    </row>
    <row r="4" customFormat="false" ht="15" hidden="false" customHeight="false" outlineLevel="0" collapsed="false">
      <c r="A4" s="0" t="s">
        <v>538</v>
      </c>
      <c r="B4" s="14" t="n">
        <v>0.69</v>
      </c>
      <c r="C4" s="0" t="s">
        <v>539</v>
      </c>
    </row>
    <row r="5" customFormat="false" ht="15" hidden="false" customHeight="false" outlineLevel="0" collapsed="false">
      <c r="A5" s="0" t="s">
        <v>540</v>
      </c>
      <c r="B5" s="14" t="n">
        <v>0.5</v>
      </c>
      <c r="C5" s="0" t="s">
        <v>539</v>
      </c>
    </row>
    <row r="7" customFormat="false" ht="28.35" hidden="false" customHeight="false" outlineLevel="0" collapsed="false">
      <c r="A7" s="15" t="s">
        <v>541</v>
      </c>
      <c r="B7" s="15" t="s">
        <v>542</v>
      </c>
      <c r="C7" s="15" t="s">
        <v>543</v>
      </c>
      <c r="D7" s="15" t="s">
        <v>544</v>
      </c>
      <c r="E7" s="15" t="s">
        <v>545</v>
      </c>
      <c r="F7" s="15" t="s">
        <v>546</v>
      </c>
      <c r="G7" s="15" t="s">
        <v>547</v>
      </c>
      <c r="H7" s="15" t="s">
        <v>548</v>
      </c>
    </row>
    <row r="8" customFormat="false" ht="15" hidden="false" customHeight="false" outlineLevel="0" collapsed="false">
      <c r="A8" s="0" t="s">
        <v>549</v>
      </c>
      <c r="B8" s="14" t="n">
        <v>0.52</v>
      </c>
      <c r="C8" s="16" t="n">
        <f aca="false">$B8/($B$4*1)</f>
        <v>0.753623188405797</v>
      </c>
      <c r="D8" s="16" t="n">
        <f aca="false">$B8/($B$4*1.5)</f>
        <v>0.502415458937198</v>
      </c>
      <c r="E8" s="16" t="n">
        <f aca="false">$B8/($B$4*2)</f>
        <v>0.376811594202899</v>
      </c>
      <c r="F8" s="16" t="n">
        <f aca="false">$B8/($B$4*3)</f>
        <v>0.251207729468599</v>
      </c>
      <c r="G8" s="16" t="n">
        <f aca="false">$B8/($B$4*4)</f>
        <v>0.188405797101449</v>
      </c>
      <c r="H8" s="17" t="n">
        <f aca="false">$B8/(0.2*$B$4)</f>
        <v>3.76811594202899</v>
      </c>
    </row>
    <row r="9" customFormat="false" ht="15" hidden="false" customHeight="false" outlineLevel="0" collapsed="false">
      <c r="A9" s="0" t="s">
        <v>550</v>
      </c>
      <c r="B9" s="14" t="n">
        <v>0.4</v>
      </c>
      <c r="C9" s="16" t="n">
        <f aca="false">$B9/($B$4*1)</f>
        <v>0.579710144927536</v>
      </c>
      <c r="D9" s="16" t="n">
        <f aca="false">$B9/($B$4*1.5)</f>
        <v>0.386473429951691</v>
      </c>
      <c r="E9" s="16" t="n">
        <f aca="false">$B9/($B$4*2)</f>
        <v>0.289855072463768</v>
      </c>
      <c r="F9" s="16" t="n">
        <f aca="false">$B9/($B$4*3)</f>
        <v>0.193236714975845</v>
      </c>
      <c r="G9" s="16" t="n">
        <f aca="false">$B9/($B$4*4)</f>
        <v>0.144927536231884</v>
      </c>
      <c r="H9" s="17" t="n">
        <f aca="false">$B9/(0.2*$B$4)</f>
        <v>2.89855072463768</v>
      </c>
    </row>
    <row r="10" customFormat="false" ht="15" hidden="false" customHeight="false" outlineLevel="0" collapsed="false">
      <c r="A10" s="0" t="s">
        <v>551</v>
      </c>
      <c r="B10" s="14" t="n">
        <v>0.32</v>
      </c>
      <c r="C10" s="16" t="n">
        <f aca="false">$B10/($B$4*1)</f>
        <v>0.463768115942029</v>
      </c>
      <c r="D10" s="16" t="n">
        <f aca="false">$B10/($B$4*1.5)</f>
        <v>0.309178743961353</v>
      </c>
      <c r="E10" s="16" t="n">
        <f aca="false">$B10/($B$4*2)</f>
        <v>0.231884057971015</v>
      </c>
      <c r="F10" s="16" t="n">
        <f aca="false">$B10/($B$4*3)</f>
        <v>0.154589371980676</v>
      </c>
      <c r="G10" s="16" t="n">
        <f aca="false">$B10/($B$4*4)</f>
        <v>0.115942028985507</v>
      </c>
      <c r="H10" s="17" t="n">
        <f aca="false">$B10/(0.2*$B$4)</f>
        <v>2.31884057971015</v>
      </c>
    </row>
    <row r="11" customFormat="false" ht="15" hidden="false" customHeight="false" outlineLevel="0" collapsed="false">
      <c r="A11" s="0" t="s">
        <v>552</v>
      </c>
      <c r="B11" s="14" t="n">
        <v>0.1</v>
      </c>
      <c r="C11" s="16" t="n">
        <f aca="false">$B11/($B$4*1)</f>
        <v>0.144927536231884</v>
      </c>
      <c r="D11" s="16" t="n">
        <f aca="false">$B11/($B$4*1.5)</f>
        <v>0.0966183574879227</v>
      </c>
      <c r="E11" s="16" t="n">
        <f aca="false">$B11/($B$4*2)</f>
        <v>0.0724637681159421</v>
      </c>
      <c r="F11" s="16" t="n">
        <f aca="false">$B11/($B$4*3)</f>
        <v>0.0483091787439614</v>
      </c>
      <c r="G11" s="16" t="n">
        <f aca="false">$B11/($B$4*4)</f>
        <v>0.036231884057971</v>
      </c>
      <c r="H11" s="17" t="n">
        <f aca="false">$B11/(0.2*$B$4)</f>
        <v>0.72463768115942</v>
      </c>
    </row>
    <row r="12" customFormat="false" ht="15" hidden="false" customHeight="false" outlineLevel="0" collapsed="false">
      <c r="A12" s="0" t="s">
        <v>553</v>
      </c>
      <c r="B12" s="14" t="n">
        <v>0.06</v>
      </c>
      <c r="C12" s="16" t="n">
        <f aca="false">$B12/($B$5*1)</f>
        <v>0.12</v>
      </c>
      <c r="D12" s="16" t="n">
        <f aca="false">$B12/($B$5*1.5)</f>
        <v>0.08</v>
      </c>
      <c r="E12" s="16" t="n">
        <f aca="false">$B12/($B$5*2)</f>
        <v>0.06</v>
      </c>
      <c r="F12" s="16" t="n">
        <f aca="false">$B12/($B$5*3)</f>
        <v>0.04</v>
      </c>
      <c r="G12" s="16" t="n">
        <f aca="false">$B12/($B$5*4)</f>
        <v>0.03</v>
      </c>
      <c r="H12" s="17" t="n">
        <f aca="false">$B12/(0.2*$B$5)</f>
        <v>0.6</v>
      </c>
    </row>
    <row r="14" customFormat="false" ht="31.5" hidden="false" customHeight="true" outlineLevel="0" collapsed="false">
      <c r="A14" s="18" t="s">
        <v>554</v>
      </c>
      <c r="B14" s="18"/>
      <c r="C14" s="18"/>
      <c r="D14" s="18"/>
      <c r="E14" s="18"/>
      <c r="F14" s="18"/>
      <c r="G14" s="18"/>
      <c r="H14" s="18"/>
    </row>
  </sheetData>
  <mergeCells count="2">
    <mergeCell ref="A1:H1"/>
    <mergeCell ref="A14:H14"/>
  </mergeCells>
  <conditionalFormatting sqref="C8:G12">
    <cfRule type="cellIs" priority="2" operator="lessThanOrEqual" aboveAverage="0" equalAverage="0" bottom="0" percent="0" rank="0" text="" dxfId="5">
      <formula>0.2</formula>
    </cfRule>
    <cfRule type="cellIs" priority="3" operator="between" aboveAverage="0" equalAverage="0" bottom="0" percent="0" rank="0" text="" dxfId="6">
      <formula>0.2000001</formula>
      <formula>0.33</formula>
    </cfRule>
    <cfRule type="cellIs" priority="4" operator="greaterThan" aboveAverage="0" equalAverage="0" bottom="0" percent="0" rank="0" text="" dxfId="7">
      <formula>0.33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10"/>
    <col collapsed="false" customWidth="true" hidden="false" outlineLevel="0" max="3" min="3" style="0" width="40"/>
  </cols>
  <sheetData>
    <row r="1" customFormat="false" ht="15" hidden="false" customHeight="false" outlineLevel="0" collapsed="false">
      <c r="A1" s="15" t="s">
        <v>555</v>
      </c>
      <c r="B1" s="15" t="s">
        <v>556</v>
      </c>
      <c r="C1" s="15" t="s">
        <v>557</v>
      </c>
    </row>
    <row r="2" customFormat="false" ht="28.35" hidden="false" customHeight="false" outlineLevel="0" collapsed="false">
      <c r="A2" s="19" t="s">
        <v>558</v>
      </c>
      <c r="B2" s="19" t="s">
        <v>559</v>
      </c>
      <c r="C2" s="19" t="s">
        <v>560</v>
      </c>
    </row>
    <row r="3" customFormat="false" ht="15" hidden="false" customHeight="false" outlineLevel="0" collapsed="false">
      <c r="A3" s="19" t="s">
        <v>561</v>
      </c>
      <c r="B3" s="19" t="s">
        <v>562</v>
      </c>
      <c r="C3" s="19" t="s">
        <v>563</v>
      </c>
    </row>
    <row r="4" customFormat="false" ht="15" hidden="false" customHeight="false" outlineLevel="0" collapsed="false">
      <c r="A4" s="19" t="s">
        <v>564</v>
      </c>
      <c r="B4" s="19" t="s">
        <v>565</v>
      </c>
      <c r="C4" s="19" t="s">
        <v>563</v>
      </c>
    </row>
    <row r="5" customFormat="false" ht="15" hidden="false" customHeight="false" outlineLevel="0" collapsed="false">
      <c r="A5" s="19" t="s">
        <v>566</v>
      </c>
      <c r="B5" s="19" t="s">
        <v>567</v>
      </c>
      <c r="C5" s="19" t="s">
        <v>563</v>
      </c>
    </row>
    <row r="6" customFormat="false" ht="28.35" hidden="false" customHeight="false" outlineLevel="0" collapsed="false">
      <c r="A6" s="19" t="s">
        <v>568</v>
      </c>
      <c r="B6" s="19" t="s">
        <v>569</v>
      </c>
      <c r="C6" s="19" t="s">
        <v>563</v>
      </c>
    </row>
    <row r="7" customFormat="false" ht="41.75" hidden="false" customHeight="false" outlineLevel="0" collapsed="false">
      <c r="A7" s="19" t="s">
        <v>570</v>
      </c>
      <c r="B7" s="19" t="s">
        <v>571</v>
      </c>
      <c r="C7" s="19" t="s">
        <v>563</v>
      </c>
    </row>
    <row r="8" customFormat="false" ht="55.2" hidden="false" customHeight="false" outlineLevel="0" collapsed="false">
      <c r="A8" s="19" t="s">
        <v>572</v>
      </c>
      <c r="B8" s="19" t="s">
        <v>573</v>
      </c>
      <c r="C8" s="19" t="s">
        <v>563</v>
      </c>
    </row>
    <row r="9" customFormat="false" ht="28.35" hidden="false" customHeight="false" outlineLevel="0" collapsed="false">
      <c r="A9" s="19" t="s">
        <v>574</v>
      </c>
      <c r="B9" s="19" t="s">
        <v>575</v>
      </c>
      <c r="C9" s="19" t="s">
        <v>563</v>
      </c>
    </row>
    <row r="10" customFormat="false" ht="28.35" hidden="false" customHeight="false" outlineLevel="0" collapsed="false">
      <c r="A10" s="19" t="s">
        <v>576</v>
      </c>
      <c r="B10" s="19" t="s">
        <v>577</v>
      </c>
      <c r="C10" s="19" t="s">
        <v>520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2026-10-14T23:42:40Z</dcterms:created>
  <dc:creator>openpyxl</dc:creator>
  <dc:description/>
  <dc:language>en-US</dc:language>
  <cp:lastModifiedBy/>
  <dcterms:modified xsi:type="dcterms:W3CDTF">2026-10-15T01:09:55Z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