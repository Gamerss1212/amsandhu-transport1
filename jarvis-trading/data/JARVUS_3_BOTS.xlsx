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Bots" sheetId="3" state="visible" r:id="rId5"/>
    <sheet name="Roles" sheetId="4" state="visible" r:id="rId6"/>
    <sheet name="Next steps" sheetId="5" state="visible" r:id="rId7"/>
    <sheet name="Fleet feed" sheetId="6" state="visible" r:id="rId8"/>
    <sheet name="Auto-pause rules" sheetId="7" state="visible" r:id="rId9"/>
  </sheets>
  <definedNames>
    <definedName function="false" hidden="true" localSheetId="2" name="_xlnm._FilterDatabase" vbProcedure="false">Bots!$A$1:$X$100</definedName>
    <definedName function="false" hidden="true" localSheetId="4" name="_xlnm._FilterDatabase" vbProcedure="false">'Next steps'!$A$1:$D$10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<sst xmlns="http://schemas.openxmlformats.org/spreadsheetml/2006/main" count="2158" uniqueCount="511">
  <si>
    <t xml:space="preserve">JARVUS 3 - BOTS (version 5)</t>
  </si>
  <si>
    <t xml:space="preserve">What this is: ONLY the 99 bots that Jarvus controls (US stocks, crypto, meme coins; no ETFs). Jarvus himself is the 100th agent and lives in JARVUS_1_MASTER_PROMPT.md. The strategy library is JARVUS_2_STRATEGIES.xlsx. Dropped from the old 100: A061 META (0 test trades).</t>
  </si>
  <si>
    <t xml:space="preserve">Status meanings:</t>
  </si>
  <si>
    <t xml:space="preserve">- WATCH: the only 3 bots marked RESEARCH FURTHER. Re-test with more data. Still no trading.</t>
  </si>
  <si>
    <t xml:space="preserve">- RETRAIN: 1-hour bots with enough data. Retrain with the new strategy list (columns New candidate 1-3).</t>
  </si>
  <si>
    <t xml:space="preserve">- NEEDS DATA: 15-minute bots. US stocks only had ~2 months of data and 0-9 test trades, so their results (good or bad) mean nothing. Get 6+ months of 15m data, then retrain.</t>
  </si>
  <si>
    <t xml:space="preserve">- MEME SHADOW: the 15 meme-coin bots as a paper-only sleeve (max 5% of paper capital, 0.25% risk per trade). Trend candidates only. Expect them to fail the gate.</t>
  </si>
  <si>
    <t xml:space="preserve">- PARKED: switched off, not deleted. Crypto bots that clearly lost or had too few trades.</t>
  </si>
  <si>
    <t xml:space="preserve">The big organization fix (v3): test by ROLE, not by single bot.</t>
  </si>
  <si>
    <t xml:space="preserve">- Old way: each bot tested alone on ~12-34 trades. That can never pass the 30-trade gate and gives each bot 3 tries to get lucky.</t>
  </si>
  <si>
    <t xml:space="preserve">- New way: one decision per role (3 candidates), tested once on all the role's bots pooled together. About 8 roles x 3 = 24 tries instead of 60+ bots x 3.</t>
  </si>
  <si>
    <t xml:space="preserve">- Caution: stocks move together, so pooled trades are not fully independent. Count independent trading days, not just trades.</t>
  </si>
  <si>
    <t xml:space="preserve">- A bot then trades only if its ROLE passes AND the bot itself is not a clear loser. Suggested starting rule (my choice, tune it): no bot runs with test Sharpe below -1.</t>
  </si>
  <si>
    <t xml:space="preserve">Quality gate (before paper trading): 30+ test trades, DSR 0.95+, PBO 0.2 or less, walk-forward 0.5+, survives 2x costs, placebo (random-direction) 95+. Added in v3: must also beat buy-and-hold.</t>
  </si>
  <si>
    <t xml:space="preserve">Facts from the old test: 0 of 100 passed. Average test Sharpe -2.05. 22 of 100 were positive, mostly on tiny samples.</t>
  </si>
  <si>
    <t xml:space="preserve">Priority: 1 = WATCH bots and BTC/ETH/SOL. 2 = stock 1h. 3 = other crypto. 4 = blocked for data. 5 = meme paper sleeve / off.</t>
  </si>
  <si>
    <t xml:space="preserve">Day-trade fix: the old 20-bar exit on 1h stock bars held about 3 days, so old 1h stock results may include overnight holds. Retrain with the forced-flat settings. Long only.</t>
  </si>
  <si>
    <t xml:space="preserve">Data: Yahoo only gives ~60 days of 15m/1h-or-shorter intraday bars via yfinance, and yfinance is unofficial. Use a proper data feed before any live decision (Alpaca advertised 5 years of 1-60 min bars in a 2020 post; check current docs).</t>
  </si>
  <si>
    <t xml:space="preserve">Sheets: Summary, Bots, Roles, Next steps, Fleet feed, Auto-pause rules.</t>
  </si>
  <si>
    <t xml:space="preserve">What changed in v5:</t>
  </si>
  <si>
    <t xml:space="preserve">- New Bots columns V-X: minimum stop (in ATR), weekend rule, and how old a bar can be before the bot counts as stale.</t>
  </si>
  <si>
    <t xml:space="preserve">- Crypto and meme bots now need wider stops (3-4 ATR) because fees eat tight stops (your BTC study). Stocks stay at 2 ATR.</t>
  </si>
  <si>
    <t xml:space="preserve">- Roles: added one extra candidate for 'Crypto majors: trend' (vol_gate_swing.btc.long_only, not built yet). Total tries are now 22 (still well under the 45 rule of thumb).</t>
  </si>
  <si>
    <t xml:space="preserve">- New sheets: 'Fleet feed' (what each bot must report to Jarvus every cycle) and 'Auto-pause rules' (thresholds as data; the code in the starter kit enforces them).</t>
  </si>
  <si>
    <t xml:space="preserve">- Nothing is allowed to trade: still 0 of 99. Paper only.</t>
  </si>
  <si>
    <t xml:space="preserve">Summary</t>
  </si>
  <si>
    <t xml:space="preserve">Status</t>
  </si>
  <si>
    <t xml:space="preserve">Bots</t>
  </si>
  <si>
    <t xml:space="preserve">Meaning</t>
  </si>
  <si>
    <t xml:space="preserve">WATCH</t>
  </si>
  <si>
    <t xml:space="preserve">Re-test, no trading</t>
  </si>
  <si>
    <t xml:space="preserve">RETRAIN</t>
  </si>
  <si>
    <t xml:space="preserve">Retrain with new list now</t>
  </si>
  <si>
    <t xml:space="preserve">NEEDS DATA</t>
  </si>
  <si>
    <t xml:space="preserve">Wait for 6+ months of 15m data</t>
  </si>
  <si>
    <t xml:space="preserve">MEME SHADOW</t>
  </si>
  <si>
    <t xml:space="preserve">Paper-only meme sleeve (max 5%)</t>
  </si>
  <si>
    <t xml:space="preserve">PARKED</t>
  </si>
  <si>
    <t xml:space="preserve">Off, kept on file</t>
  </si>
  <si>
    <t xml:space="preserve">Total</t>
  </si>
  <si>
    <t xml:space="preserve">Active roster (not parked)</t>
  </si>
  <si>
    <t xml:space="preserve">Allowed to trade today</t>
  </si>
  <si>
    <t xml:space="preserve">Agent</t>
  </si>
  <si>
    <t xml:space="preserve">Priority</t>
  </si>
  <si>
    <t xml:space="preserve">Group</t>
  </si>
  <si>
    <t xml:space="preserve">Role</t>
  </si>
  <si>
    <t xml:space="preserve">Instrument</t>
  </si>
  <si>
    <t xml:space="preserve">Bar</t>
  </si>
  <si>
    <t xml:space="preserve">Old strategy</t>
  </si>
  <si>
    <t xml:space="preserve">Old test Sharpe</t>
  </si>
  <si>
    <t xml:space="preserve">Old test trades</t>
  </si>
  <si>
    <t xml:space="preserve">Old DSR</t>
  </si>
  <si>
    <t xml:space="preserve">Old PBO</t>
  </si>
  <si>
    <t xml:space="preserve">Old verdict</t>
  </si>
  <si>
    <t xml:space="preserve">New candidate 1</t>
  </si>
  <si>
    <t xml:space="preserve">New candidate 2</t>
  </si>
  <si>
    <t xml:space="preserve">New candidate 3</t>
  </si>
  <si>
    <t xml:space="preserve">Day trade settings</t>
  </si>
  <si>
    <t xml:space="preserve">Canada venue check</t>
  </si>
  <si>
    <t xml:space="preserve">Why</t>
  </si>
  <si>
    <t xml:space="preserve">Training data</t>
  </si>
  <si>
    <t xml:space="preserve">Allowed to trade</t>
  </si>
  <si>
    <t xml:space="preserve">Min stop (ATR)</t>
  </si>
  <si>
    <t xml:space="preserve">Weekend entries</t>
  </si>
  <si>
    <t xml:space="preserve">Stale if bar older than</t>
  </si>
  <si>
    <t xml:space="preserve">A073</t>
  </si>
  <si>
    <t xml:space="preserve">1 - first</t>
  </si>
  <si>
    <t xml:space="preserve">US stocks</t>
  </si>
  <si>
    <t xml:space="preserve">Large US stocks: mean reversion</t>
  </si>
  <si>
    <t xml:space="preserve">JPM</t>
  </si>
  <si>
    <t xml:space="preserve">1h</t>
  </si>
  <si>
    <t xml:space="preserve">zscore_reversion.none.atr_bracket</t>
  </si>
  <si>
    <t xml:space="preserve">RESEARCH FURTHER</t>
  </si>
  <si>
    <t xml:space="preserve">ibs_reversion.trend200.time</t>
  </si>
  <si>
    <t xml:space="preserve">rsi2_reversion.trend200.time</t>
  </si>
  <si>
    <t xml:space="preserve">Long only. Flat by 3:55 pm ET. Max 5 bars per trade (never overnight).</t>
  </si>
  <si>
    <t xml:space="preserve">IBKR Canada (API). Alpaca live not open to Canadians</t>
  </si>
  <si>
    <t xml:space="preserve">Only bots flagged RESEARCH FURTHER. Re-test with more data; still no trading.</t>
  </si>
  <si>
    <t xml:space="preserve">yahoo 3476 bars 2024-10-15 to 2026-10-13</t>
  </si>
  <si>
    <t xml:space="preserve">No - stays in cash</t>
  </si>
  <si>
    <t xml:space="preserve">n/a (market closed)</t>
  </si>
  <si>
    <t xml:space="preserve">bar size + 15 min</t>
  </si>
  <si>
    <t xml:space="preserve">A081</t>
  </si>
  <si>
    <t xml:space="preserve">WMT</t>
  </si>
  <si>
    <t xml:space="preserve">yahoo 3477 bars 2024-10-15 to 2026-10-13</t>
  </si>
  <si>
    <t xml:space="preserve">A087</t>
  </si>
  <si>
    <t xml:space="preserve">MRK</t>
  </si>
  <si>
    <t xml:space="preserve">A001</t>
  </si>
  <si>
    <t xml:space="preserve">Crypto</t>
  </si>
  <si>
    <t xml:space="preserve">Crypto majors: trend</t>
  </si>
  <si>
    <t xml:space="preserve">BTC-USD</t>
  </si>
  <si>
    <t xml:space="preserve">ema_cross.adx.flip</t>
  </si>
  <si>
    <t xml:space="preserve">REJECT</t>
  </si>
  <si>
    <t xml:space="preserve">donchian_trend.adx.trail</t>
  </si>
  <si>
    <t xml:space="preserve">vol_breakout.adx.atr_bracket</t>
  </si>
  <si>
    <t xml:space="preserve">nr7_breakout.adx.atr_bracket</t>
  </si>
  <si>
    <t xml:space="preserve">Long only. Max 12 bars (12 h) per trade. Max 2 crypto bots open at once.</t>
  </si>
  <si>
    <t xml:space="preserve">Verify the coin is on NDAX/Kraken/Coinbase Canada</t>
  </si>
  <si>
    <t xml:space="preserve">BTC/ETH/SOL: deepest books, keep them even though v1 lost.</t>
  </si>
  <si>
    <t xml:space="preserve">coinbase 19994 bars 2024-07-02 to 2026-10-14</t>
  </si>
  <si>
    <t xml:space="preserve">No entries Sat/Sun</t>
  </si>
  <si>
    <t xml:space="preserve">A002</t>
  </si>
  <si>
    <t xml:space="preserve">ETH-USD</t>
  </si>
  <si>
    <t xml:space="preserve">donchian_breakout.none.trail</t>
  </si>
  <si>
    <t xml:space="preserve">A003</t>
  </si>
  <si>
    <t xml:space="preserve">SOL-USD</t>
  </si>
  <si>
    <t xml:space="preserve">tsmom.none.trail</t>
  </si>
  <si>
    <t xml:space="preserve">A074</t>
  </si>
  <si>
    <t xml:space="preserve">2 - next</t>
  </si>
  <si>
    <t xml:space="preserve">XOM</t>
  </si>
  <si>
    <t xml:space="preserve">2 years of 1h data. Retrain with the new candidate list.</t>
  </si>
  <si>
    <t xml:space="preserve">A075</t>
  </si>
  <si>
    <t xml:space="preserve">BRK-B</t>
  </si>
  <si>
    <t xml:space="preserve">rsi2_reversion.none.time</t>
  </si>
  <si>
    <t xml:space="preserve">A076</t>
  </si>
  <si>
    <t xml:space="preserve">LLY</t>
  </si>
  <si>
    <t xml:space="preserve">A077</t>
  </si>
  <si>
    <t xml:space="preserve">V</t>
  </si>
  <si>
    <t xml:space="preserve">A078</t>
  </si>
  <si>
    <t xml:space="preserve">MA</t>
  </si>
  <si>
    <t xml:space="preserve">A079</t>
  </si>
  <si>
    <t xml:space="preserve">UNH</t>
  </si>
  <si>
    <t xml:space="preserve">A080</t>
  </si>
  <si>
    <t xml:space="preserve">COST</t>
  </si>
  <si>
    <t xml:space="preserve">A082</t>
  </si>
  <si>
    <t xml:space="preserve">HD</t>
  </si>
  <si>
    <t xml:space="preserve">A083</t>
  </si>
  <si>
    <t xml:space="preserve">PG</t>
  </si>
  <si>
    <t xml:space="preserve">A084</t>
  </si>
  <si>
    <t xml:space="preserve">JNJ</t>
  </si>
  <si>
    <t xml:space="preserve">A085</t>
  </si>
  <si>
    <t xml:space="preserve">KO</t>
  </si>
  <si>
    <t xml:space="preserve">A086</t>
  </si>
  <si>
    <t xml:space="preserve">PEP</t>
  </si>
  <si>
    <t xml:space="preserve">A088</t>
  </si>
  <si>
    <t xml:space="preserve">CVX</t>
  </si>
  <si>
    <t xml:space="preserve">A089</t>
  </si>
  <si>
    <t xml:space="preserve">BAC</t>
  </si>
  <si>
    <t xml:space="preserve">A004</t>
  </si>
  <si>
    <t xml:space="preserve">3 - then</t>
  </si>
  <si>
    <t xml:space="preserve">Liquid crypto: trend</t>
  </si>
  <si>
    <t xml:space="preserve">ZEC-USD</t>
  </si>
  <si>
    <t xml:space="preserve">squeeze_breakout.adx.trail</t>
  </si>
  <si>
    <t xml:space="preserve">nr7_breakout.relvol.atr_bracket</t>
  </si>
  <si>
    <t xml:space="preserve">Not broken in v1 and enough trades. Retrain with new list.</t>
  </si>
  <si>
    <t xml:space="preserve">A005</t>
  </si>
  <si>
    <t xml:space="preserve">XRP-USD</t>
  </si>
  <si>
    <t xml:space="preserve">A006</t>
  </si>
  <si>
    <t xml:space="preserve">NEAR-USD</t>
  </si>
  <si>
    <t xml:space="preserve">coinbase 19993 bars 2024-07-02 to 2026-10-14</t>
  </si>
  <si>
    <t xml:space="preserve">A015</t>
  </si>
  <si>
    <t xml:space="preserve">TAO-USD</t>
  </si>
  <si>
    <t xml:space="preserve">coinbase 14401 bars 2025-02-20 to 2026-10-14</t>
  </si>
  <si>
    <t xml:space="preserve">A016</t>
  </si>
  <si>
    <t xml:space="preserve">BAT-USD</t>
  </si>
  <si>
    <t xml:space="preserve">coinbase 19985 bars 2024-07-02 to 2026-10-14</t>
  </si>
  <si>
    <t xml:space="preserve">A017</t>
  </si>
  <si>
    <t xml:space="preserve">XLM-USD</t>
  </si>
  <si>
    <t xml:space="preserve">A020</t>
  </si>
  <si>
    <t xml:space="preserve">ONDO-USD</t>
  </si>
  <si>
    <t xml:space="preserve">A021</t>
  </si>
  <si>
    <t xml:space="preserve">ENA-USD</t>
  </si>
  <si>
    <t xml:space="preserve">coinbase 11882 bars 2025-06-05 to 2026-10-14</t>
  </si>
  <si>
    <t xml:space="preserve">A023</t>
  </si>
  <si>
    <t xml:space="preserve">HBAR-USD</t>
  </si>
  <si>
    <t xml:space="preserve">A024</t>
  </si>
  <si>
    <t xml:space="preserve">USELESS-USD</t>
  </si>
  <si>
    <t xml:space="preserve">coinbase 10058 bars 2025-08-20 to 2026-10-14</t>
  </si>
  <si>
    <t xml:space="preserve">A025</t>
  </si>
  <si>
    <t xml:space="preserve">S-USD</t>
  </si>
  <si>
    <t xml:space="preserve">coinbase 11426 bars 2025-06-24 to 2026-10-14</t>
  </si>
  <si>
    <t xml:space="preserve">A032</t>
  </si>
  <si>
    <t xml:space="preserve">Liquid crypto: mean reversion</t>
  </si>
  <si>
    <t xml:space="preserve">AMP-USD</t>
  </si>
  <si>
    <t xml:space="preserve">bollinger_reversion.adx.time</t>
  </si>
  <si>
    <t xml:space="preserve">connors_rsi_rev.vol_band.time</t>
  </si>
  <si>
    <t xml:space="preserve">bollinger_reversion.vol_band.atr_bracket</t>
  </si>
  <si>
    <t xml:space="preserve">coinbase 19853 bars 2024-07-02 to 2026-10-14</t>
  </si>
  <si>
    <t xml:space="preserve">A056</t>
  </si>
  <si>
    <t xml:space="preserve">4 - blocked (data)</t>
  </si>
  <si>
    <t xml:space="preserve">Large US stocks: breakouts</t>
  </si>
  <si>
    <t xml:space="preserve">AAPL</t>
  </si>
  <si>
    <t xml:space="preserve">15m</t>
  </si>
  <si>
    <t xml:space="preserve">orb.relvol.time</t>
  </si>
  <si>
    <t xml:space="preserve">orb.relvol.atr_bracket</t>
  </si>
  <si>
    <t xml:space="preserve">active_orb.relvol.time</t>
  </si>
  <si>
    <t xml:space="preserve">initial_balance_breakout.relvol.atr_bracket</t>
  </si>
  <si>
    <t xml:space="preserve">Long only. Flat by 3:55 pm ET. Max 20 bars per trade (never overnight).</t>
  </si>
  <si>
    <t xml:space="preserve">Only 1,067 bars (~2 months) and 0-9 test trades. Result is noise. Get 6+ months of 15m data, then retrain.</t>
  </si>
  <si>
    <t xml:space="preserve">yahoo 1067 bars 2026-08-17 to 2026-10-13</t>
  </si>
  <si>
    <t xml:space="preserve">bar size + 5 min</t>
  </si>
  <si>
    <t xml:space="preserve">A057</t>
  </si>
  <si>
    <t xml:space="preserve">MSFT</t>
  </si>
  <si>
    <t xml:space="preserve">vol_breakout.none.atr_bracket</t>
  </si>
  <si>
    <t xml:space="preserve">A058</t>
  </si>
  <si>
    <t xml:space="preserve">NVDA</t>
  </si>
  <si>
    <t xml:space="preserve">A059</t>
  </si>
  <si>
    <t xml:space="preserve">AMZN</t>
  </si>
  <si>
    <t xml:space="preserve">A060</t>
  </si>
  <si>
    <t xml:space="preserve">TSLA</t>
  </si>
  <si>
    <t xml:space="preserve">A062</t>
  </si>
  <si>
    <t xml:space="preserve">GOOGL</t>
  </si>
  <si>
    <t xml:space="preserve">A063</t>
  </si>
  <si>
    <t xml:space="preserve">AMD</t>
  </si>
  <si>
    <t xml:space="preserve">A064</t>
  </si>
  <si>
    <t xml:space="preserve">NFLX</t>
  </si>
  <si>
    <t xml:space="preserve">A065</t>
  </si>
  <si>
    <t xml:space="preserve">AVGO</t>
  </si>
  <si>
    <t xml:space="preserve">A066</t>
  </si>
  <si>
    <t xml:space="preserve">PLTR</t>
  </si>
  <si>
    <t xml:space="preserve">A067</t>
  </si>
  <si>
    <t xml:space="preserve">COIN</t>
  </si>
  <si>
    <t xml:space="preserve">A068</t>
  </si>
  <si>
    <t xml:space="preserve">UBER</t>
  </si>
  <si>
    <t xml:space="preserve">A069</t>
  </si>
  <si>
    <t xml:space="preserve">ORCL</t>
  </si>
  <si>
    <t xml:space="preserve">A070</t>
  </si>
  <si>
    <t xml:space="preserve">CRM</t>
  </si>
  <si>
    <t xml:space="preserve">A071</t>
  </si>
  <si>
    <t xml:space="preserve">ADBE</t>
  </si>
  <si>
    <t xml:space="preserve">A072</t>
  </si>
  <si>
    <t xml:space="preserve">INTC</t>
  </si>
  <si>
    <t xml:space="preserve">A090</t>
  </si>
  <si>
    <t xml:space="preserve">Large US stocks: intraday momentum</t>
  </si>
  <si>
    <t xml:space="preserve">QCOM</t>
  </si>
  <si>
    <t xml:space="preserve">noise_band_momentum.none.time</t>
  </si>
  <si>
    <t xml:space="preserve">first_hour_momentum.session.time</t>
  </si>
  <si>
    <t xml:space="preserve">active_orb.relvol.atr_bracket</t>
  </si>
  <si>
    <t xml:space="preserve">A091</t>
  </si>
  <si>
    <t xml:space="preserve">PYPL</t>
  </si>
  <si>
    <t xml:space="preserve">orb.none.time</t>
  </si>
  <si>
    <t xml:space="preserve">A092</t>
  </si>
  <si>
    <t xml:space="preserve">BA</t>
  </si>
  <si>
    <t xml:space="preserve">A093</t>
  </si>
  <si>
    <t xml:space="preserve">DIS</t>
  </si>
  <si>
    <t xml:space="preserve">A094</t>
  </si>
  <si>
    <t xml:space="preserve">ABBV</t>
  </si>
  <si>
    <t xml:space="preserve">A095</t>
  </si>
  <si>
    <t xml:space="preserve">MCD</t>
  </si>
  <si>
    <t xml:space="preserve">A096</t>
  </si>
  <si>
    <t xml:space="preserve">GS</t>
  </si>
  <si>
    <t xml:space="preserve">A097</t>
  </si>
  <si>
    <t xml:space="preserve">CAT</t>
  </si>
  <si>
    <t xml:space="preserve">A098</t>
  </si>
  <si>
    <t xml:space="preserve">HON</t>
  </si>
  <si>
    <t xml:space="preserve">A099</t>
  </si>
  <si>
    <t xml:space="preserve">IBM</t>
  </si>
  <si>
    <t xml:space="preserve">A100</t>
  </si>
  <si>
    <t xml:space="preserve">TXN</t>
  </si>
  <si>
    <t xml:space="preserve">A041</t>
  </si>
  <si>
    <t xml:space="preserve">5 - paper sleeve (max 5%)</t>
  </si>
  <si>
    <t xml:space="preserve">Meme coins</t>
  </si>
  <si>
    <t xml:space="preserve">Meme coins: trend sleeve</t>
  </si>
  <si>
    <t xml:space="preserve">DOGE-USD</t>
  </si>
  <si>
    <t xml:space="preserve">Long only. Max 12 bars. Meme sleeve: max 5% of paper capital, risk 0.25% per trade, hard stop.</t>
  </si>
  <si>
    <t xml:space="preserve">NDAX asset statement found</t>
  </si>
  <si>
    <t xml:space="preserve">Kept as a paper-only sleeve (you asked for memes). Old results were the worst, so it must pass the same gate. Mean-reversion dropped for memes (they leave ranges fast); trend candidates only.</t>
  </si>
  <si>
    <t xml:space="preserve">No entries Sat/Sun (untested)</t>
  </si>
  <si>
    <t xml:space="preserve">A042</t>
  </si>
  <si>
    <t xml:space="preserve">TRUMP-USD</t>
  </si>
  <si>
    <t xml:space="preserve">Not confirmed on NDAX/Kraken Canada - verify before any use</t>
  </si>
  <si>
    <t xml:space="preserve">coinbase 15100 bars 2025-01-21 to 2026-10-14</t>
  </si>
  <si>
    <t xml:space="preserve">A043</t>
  </si>
  <si>
    <t xml:space="preserve">PENGU-USD</t>
  </si>
  <si>
    <t xml:space="preserve">coinbase 14569 bars 2025-02-13 to 2026-10-14</t>
  </si>
  <si>
    <t xml:space="preserve">A044</t>
  </si>
  <si>
    <t xml:space="preserve">PEPE-USD</t>
  </si>
  <si>
    <t xml:space="preserve">coinbase 16777 bars 2024-11-13 to 2026-10-14</t>
  </si>
  <si>
    <t xml:space="preserve">A045</t>
  </si>
  <si>
    <t xml:space="preserve">BONK-USD</t>
  </si>
  <si>
    <t xml:space="preserve">A046</t>
  </si>
  <si>
    <t xml:space="preserve">FARTCOIN-USD</t>
  </si>
  <si>
    <t xml:space="preserve">coinbase 11714 bars 2025-06-12 to 2026-10-14</t>
  </si>
  <si>
    <t xml:space="preserve">A047</t>
  </si>
  <si>
    <t xml:space="preserve">GIGA-USD</t>
  </si>
  <si>
    <t xml:space="preserve">coinbase 15797 bars 2024-12-11 to 2026-10-14</t>
  </si>
  <si>
    <t xml:space="preserve">A048</t>
  </si>
  <si>
    <t xml:space="preserve">SHIB-USD</t>
  </si>
  <si>
    <t xml:space="preserve">A049</t>
  </si>
  <si>
    <t xml:space="preserve">SPX-USD</t>
  </si>
  <si>
    <t xml:space="preserve">coinbase 9576 bars 2025-09-09 to 2026-10-14</t>
  </si>
  <si>
    <t xml:space="preserve">A050</t>
  </si>
  <si>
    <t xml:space="preserve">WIF-USD</t>
  </si>
  <si>
    <t xml:space="preserve">coinbase 16714 bars 2024-11-13 to 2026-10-14</t>
  </si>
  <si>
    <t xml:space="preserve">A051</t>
  </si>
  <si>
    <t xml:space="preserve">FLOKI-USD</t>
  </si>
  <si>
    <t xml:space="preserve">coinbase 16355 bars 2024-11-21 to 2026-10-14</t>
  </si>
  <si>
    <t xml:space="preserve">A052</t>
  </si>
  <si>
    <t xml:space="preserve">MOODENG-USD</t>
  </si>
  <si>
    <t xml:space="preserve">coinbase 16263 bars 2024-12-04 to 2026-10-14</t>
  </si>
  <si>
    <t xml:space="preserve">A053</t>
  </si>
  <si>
    <t xml:space="preserve">POPCAT-USD</t>
  </si>
  <si>
    <t xml:space="preserve">coinbase 14510 bars 2025-02-13 to 2026-10-14</t>
  </si>
  <si>
    <t xml:space="preserve">A054</t>
  </si>
  <si>
    <t xml:space="preserve">TURBO-USD</t>
  </si>
  <si>
    <t xml:space="preserve">coinbase 16077 bars 2024-12-11 to 2026-10-14</t>
  </si>
  <si>
    <t xml:space="preserve">A055</t>
  </si>
  <si>
    <t xml:space="preserve">PNUT-USD</t>
  </si>
  <si>
    <t xml:space="preserve">coinbase 14854 bars 2025-01-14 to 2026-10-14</t>
  </si>
  <si>
    <t xml:space="preserve">A007</t>
  </si>
  <si>
    <t xml:space="preserve">5 - off</t>
  </si>
  <si>
    <t xml:space="preserve">QNT-USD</t>
  </si>
  <si>
    <t xml:space="preserve">v1 clearly lost (test Sharpe below -1.5) or too few trades to judge. Park, do not delete.</t>
  </si>
  <si>
    <t xml:space="preserve">A008</t>
  </si>
  <si>
    <t xml:space="preserve">HYPE-USD</t>
  </si>
  <si>
    <t xml:space="preserve">coinbase 6004 bars 2026-02-05 to 2026-10-14</t>
  </si>
  <si>
    <t xml:space="preserve">A009</t>
  </si>
  <si>
    <t xml:space="preserve">SUI-USD</t>
  </si>
  <si>
    <t xml:space="preserve">A010</t>
  </si>
  <si>
    <t xml:space="preserve">ADA-USD</t>
  </si>
  <si>
    <t xml:space="preserve">A011</t>
  </si>
  <si>
    <t xml:space="preserve">INJ-USD</t>
  </si>
  <si>
    <t xml:space="preserve">A012</t>
  </si>
  <si>
    <t xml:space="preserve">UNI-USD</t>
  </si>
  <si>
    <t xml:space="preserve">A013</t>
  </si>
  <si>
    <t xml:space="preserve">STRK-USD</t>
  </si>
  <si>
    <t xml:space="preserve">coinbase 19719 bars 2024-07-02 to 2026-10-14</t>
  </si>
  <si>
    <t xml:space="preserve">A014</t>
  </si>
  <si>
    <t xml:space="preserve">LINK-USD</t>
  </si>
  <si>
    <t xml:space="preserve">A018</t>
  </si>
  <si>
    <t xml:space="preserve">VVV-USD</t>
  </si>
  <si>
    <t xml:space="preserve">coinbase 14791 bars 2025-01-28 to 2026-10-14</t>
  </si>
  <si>
    <t xml:space="preserve">A019</t>
  </si>
  <si>
    <t xml:space="preserve">LTC-USD</t>
  </si>
  <si>
    <t xml:space="preserve">A022</t>
  </si>
  <si>
    <t xml:space="preserve">PUMP-USD</t>
  </si>
  <si>
    <t xml:space="preserve">coinbase 10925 bars 2025-07-15 to 2026-10-14</t>
  </si>
  <si>
    <t xml:space="preserve">A026</t>
  </si>
  <si>
    <t xml:space="preserve">RENDER-USD</t>
  </si>
  <si>
    <t xml:space="preserve">A027</t>
  </si>
  <si>
    <t xml:space="preserve">AERO-USD</t>
  </si>
  <si>
    <t xml:space="preserve">A028</t>
  </si>
  <si>
    <t xml:space="preserve">AVAX-USD</t>
  </si>
  <si>
    <t xml:space="preserve">A029</t>
  </si>
  <si>
    <t xml:space="preserve">FIL-USD</t>
  </si>
  <si>
    <t xml:space="preserve">A030</t>
  </si>
  <si>
    <t xml:space="preserve">OP-USD</t>
  </si>
  <si>
    <t xml:space="preserve">coinbase 19903 bars 2024-07-02 to 2026-10-14</t>
  </si>
  <si>
    <t xml:space="preserve">A031</t>
  </si>
  <si>
    <t xml:space="preserve">FET-USD</t>
  </si>
  <si>
    <t xml:space="preserve">A033</t>
  </si>
  <si>
    <t xml:space="preserve">STX-USD</t>
  </si>
  <si>
    <t xml:space="preserve">coinbase 19992 bars 2024-07-02 to 2026-10-14</t>
  </si>
  <si>
    <t xml:space="preserve">A034</t>
  </si>
  <si>
    <t xml:space="preserve">SD-USD</t>
  </si>
  <si>
    <t xml:space="preserve">coinbase 18247 bars 2024-07-30 to 2026-10-14</t>
  </si>
  <si>
    <t xml:space="preserve">A035</t>
  </si>
  <si>
    <t xml:space="preserve">DOT-USD</t>
  </si>
  <si>
    <t xml:space="preserve">A036</t>
  </si>
  <si>
    <t xml:space="preserve">LIGHTER-USD</t>
  </si>
  <si>
    <t xml:space="preserve">coinbase 6499 bars 2026-01-15 to 2026-10-14</t>
  </si>
  <si>
    <t xml:space="preserve">A037</t>
  </si>
  <si>
    <t xml:space="preserve">ZRO-USD</t>
  </si>
  <si>
    <t xml:space="preserve">A038</t>
  </si>
  <si>
    <t xml:space="preserve">MON-USD</t>
  </si>
  <si>
    <t xml:space="preserve">coinbase 7762 bars 2025-11-24 to 2026-10-14</t>
  </si>
  <si>
    <t xml:space="preserve">A039</t>
  </si>
  <si>
    <t xml:space="preserve">AAVE-USD</t>
  </si>
  <si>
    <t xml:space="preserve">A040</t>
  </si>
  <si>
    <t xml:space="preserve">ICP-USD</t>
  </si>
  <si>
    <t xml:space="preserve">coinbase 19983 bars 2024-07-02 to 2026-10-14</t>
  </si>
  <si>
    <t xml:space="preserve">Bots in role (not parked)</t>
  </si>
  <si>
    <t xml:space="preserve">Candidate 1</t>
  </si>
  <si>
    <t xml:space="preserve">Candidate 2</t>
  </si>
  <si>
    <t xml:space="preserve">Candidate 3</t>
  </si>
  <si>
    <t xml:space="preserve">Old test trades (all bots in role, old strategies, indicative only)</t>
  </si>
  <si>
    <t xml:space="preserve">Plan</t>
  </si>
  <si>
    <t xml:space="preserve">Extra candidate (v5, new)</t>
  </si>
  <si>
    <t xml:space="preserve">Pick ONE strategy for the whole role on pooled train/validation. Test once on pooled test. Includes WATCH bots A073/A081/A087.</t>
  </si>
  <si>
    <t xml:space="preserve">Blocked until 6+ months of 15m data. Opening-range ideas are cost-sensitive: check the cost rule.</t>
  </si>
  <si>
    <t xml:space="preserve">Blocked until 6+ months of 15m data. Check cost rule.</t>
  </si>
  <si>
    <t xml:space="preserve">BTC, ETH, SOL: deepest books. Check real exchange fees first.</t>
  </si>
  <si>
    <t xml:space="preserve">vol_gate_swing.btc.long_only (NEW, 96h swing - build first)</t>
  </si>
  <si>
    <t xml:space="preserve">Pool with majors if the first test is thin. Check real exchange fees.</t>
  </si>
  <si>
    <t xml:space="preserve">Only AMP is active. Park the role if the pooled test cannot reach 30 trades.</t>
  </si>
  <si>
    <t xml:space="preserve">All 15 meme bots, one test. Paper-only, max 5% of paper capital. Expect it to fail the gate; that is a fine answer.</t>
  </si>
  <si>
    <t xml:space="preserve">Total tries (all candidates)</t>
  </si>
  <si>
    <t xml:space="preserve">Rule of thumb: about 45 tries max on 5 years of daily data (Bailey et al.). Now 22. Add the 4 VWAP tries and the crypto session-ORB try only after the first round, and count them.</t>
  </si>
  <si>
    <t xml:space="preserve">Order</t>
  </si>
  <si>
    <t xml:space="preserve">What</t>
  </si>
  <si>
    <t xml:space="preserve">Action</t>
  </si>
  <si>
    <t xml:space="preserve">Pass condition / note</t>
  </si>
  <si>
    <t xml:space="preserve">Build the safety layer first</t>
  </si>
  <si>
    <t xml:space="preserve">Risk engine with hard limits, kill switch, stale-data halt, duplicate-order check. The starter kit (policy.py) is a tested first draft: have it reviewed, then simulate failures (cut the feed, send bad prices, restart mid-trade). Jarvus must not be able to change it.</t>
  </si>
  <si>
    <t xml:space="preserve">Do before any signal work. See JARVUS_RISK_CHECKLIST.md.</t>
  </si>
  <si>
    <t xml:space="preserve">Get a real data feed</t>
  </si>
  <si>
    <t xml:space="preserve">Years of 1-60 min bars for US stocks, dated and split-adjusted, including delisted names. Stop relying on yfinance.</t>
  </si>
  <si>
    <t xml:space="preserve">Needed for the 15m bots and for any live decision.</t>
  </si>
  <si>
    <t xml:space="preserve">Run the quality gate as a program</t>
  </si>
  <si>
    <t xml:space="preserve">quality_gate.py in the kit computes trade count, Deflated Sharpe, 2x-cost profit, walk-forward folds and a sign-flip test. PBO, the random-direction placebo and buy-and-hold need bar data, so the gate stays CLOSED until you supply them.</t>
  </si>
  <si>
    <t xml:space="preserve">Gate verdicts come from code, never from Jarvus.</t>
  </si>
  <si>
    <t xml:space="preserve">Retrain WATCH bots A073, A081, A087 + stock MR role</t>
  </si>
  <si>
    <t xml:space="preserve">Role-level test with forced-flat day-trade settings, long only, next-bar fills, costs on.</t>
  </si>
  <si>
    <t xml:space="preserve">Pooled test trades 30+, DSR 0.95+, beats buy-and-hold and the random-direction control.</t>
  </si>
  <si>
    <t xml:space="preserve">Crypto majors: build the volatility gate, then test hold times</t>
  </si>
  <si>
    <t xml:space="preserve">Build vol_gate.overlay, then vol_gate_swing.btc.long_only. Test 12h, 24h and 96h limits with 3-4 ATR stops and your REAL fees. Apply the cost rule: over 20% of 1R = half size, over 33% = WAIT.</t>
  </si>
  <si>
    <t xml:space="preserve">Same gate. Expect the 12h day-trade version to be the hardest.</t>
  </si>
  <si>
    <t xml:space="preserve">Stocks-in-play ORB research track</t>
  </si>
  <si>
    <t xml:space="preserve">Build ONE pooled strategy on minute data and a big universe (see strategy file, New sheet). It cannot run as one bot per stock.</t>
  </si>
  <si>
    <t xml:space="preserve">Same gate. Best-documented stock idea, but authors sell education: treat results as an upper bound.</t>
  </si>
  <si>
    <t xml:space="preserve">Unblock the 15m bots</t>
  </si>
  <si>
    <t xml:space="preserve">Only after 6+ months of 15m data. Opening-range ideas are cost-sensitive.</t>
  </si>
  <si>
    <t xml:space="preserve">Same gate.</t>
  </si>
  <si>
    <t xml:space="preserve">Build the 4 VWAP variants and the crypto session ORB</t>
  </si>
  <si>
    <t xml:space="preserve">Then add them as a second round. Count them in the DSR.</t>
  </si>
  <si>
    <t xml:space="preserve">Do not trade untested code.</t>
  </si>
  <si>
    <t xml:space="preserve">Shadow log</t>
  </si>
  <si>
    <t xml:space="preserve">Every bot logs signals with no money. Compare shadow results to the backtest. A big gap means the backtest lied.</t>
  </si>
  <si>
    <t xml:space="preserve">Needed before any trust.</t>
  </si>
  <si>
    <t xml:space="preserve">Voice Jarvis, read-only</t>
  </si>
  <si>
    <t xml:space="preserve">Start with Claude voice mode + the daily report call. Add the voice command router and read-only tools from the kit after the shadow log works. Voice never gets keys or order powers.</t>
  </si>
  <si>
    <t xml:space="preserve">See JARVUS_4_VOICE_AND_LAPTOP_GUIDE.md.</t>
  </si>
  <si>
    <t xml:space="preserve">Weekly review</t>
  </si>
  <si>
    <t xml:space="preserve">Promote only on a full pass on unseen data. Demote on fresh-data failure. Re-check all after any model or data change.</t>
  </si>
  <si>
    <t xml:space="preserve">Keep the roster small.</t>
  </si>
  <si>
    <t xml:space="preserve">Field</t>
  </si>
  <si>
    <t xml:space="preserve">Type</t>
  </si>
  <si>
    <t xml:space="preserve">Rule</t>
  </si>
  <si>
    <t xml:space="preserve">bot_id</t>
  </si>
  <si>
    <t xml:space="preserve">text</t>
  </si>
  <si>
    <t xml:space="preserve">Bot id, for example A073</t>
  </si>
  <si>
    <t xml:space="preserve">symbol</t>
  </si>
  <si>
    <t xml:space="preserve">What it trades</t>
  </si>
  <si>
    <t xml:space="preserve">role</t>
  </si>
  <si>
    <t xml:space="preserve">Role from the Roles sheet</t>
  </si>
  <si>
    <t xml:space="preserve">status</t>
  </si>
  <si>
    <t xml:space="preserve">WATCH / RETRAIN / NEEDS DATA / MEME SHADOW / PARKED, plus ACTIVE-PAPER once passed</t>
  </si>
  <si>
    <t xml:space="preserve">verdict</t>
  </si>
  <si>
    <t xml:space="preserve">REJECT / RESEARCH FURTHER / PAPER TEST (from the gate, never from Jarvus)</t>
  </si>
  <si>
    <t xml:space="preserve">last_bar_time</t>
  </si>
  <si>
    <t xml:space="preserve">UTC time</t>
  </si>
  <si>
    <t xml:space="preserve">Time of the last CLOSED bar the bot used</t>
  </si>
  <si>
    <t xml:space="preserve">Stale if older than the Bots column X rule</t>
  </si>
  <si>
    <t xml:space="preserve">last_signal</t>
  </si>
  <si>
    <t xml:space="preserve">LONG / NONE (long only)</t>
  </si>
  <si>
    <t xml:space="preserve">open_position</t>
  </si>
  <si>
    <t xml:space="preserve">yes/no + size, entry, stop</t>
  </si>
  <si>
    <t xml:space="preserve">Paper position, if any</t>
  </si>
  <si>
    <t xml:space="preserve">Unknown position = pause the bot</t>
  </si>
  <si>
    <t xml:space="preserve">pnl_today_usd, pnl_week_usd</t>
  </si>
  <si>
    <t xml:space="preserve">number</t>
  </si>
  <si>
    <t xml:space="preserve">Paper profit/loss</t>
  </si>
  <si>
    <t xml:space="preserve">trades_today, win_rate, avg_r</t>
  </si>
  <si>
    <t xml:space="preserve">numbers</t>
  </si>
  <si>
    <t xml:space="preserve">Daily record</t>
  </si>
  <si>
    <t xml:space="preserve">cost_r_avg</t>
  </si>
  <si>
    <t xml:space="preserve">Average cost in R on the bot's trades</t>
  </si>
  <si>
    <t xml:space="preserve">Over 0.20 = warning; over 0.33 = pause</t>
  </si>
  <si>
    <t xml:space="preserve">slippage_vs_model</t>
  </si>
  <si>
    <t xml:space="preserve">ratio</t>
  </si>
  <si>
    <t xml:space="preserve">Real slippage divided by the model's slippage</t>
  </si>
  <si>
    <t xml:space="preserve">Over 2.0 = pause</t>
  </si>
  <si>
    <t xml:space="preserve">max_drawdown_pct, backtest_max_dd_pct</t>
  </si>
  <si>
    <t xml:space="preserve">Bot drawdown vs its backtest maximum</t>
  </si>
  <si>
    <t xml:space="preserve">Over 1.5x backtest = pause</t>
  </si>
  <si>
    <t xml:space="preserve">days_since_last_trade</t>
  </si>
  <si>
    <t xml:space="preserve">Silent bots are flagged</t>
  </si>
  <si>
    <t xml:space="preserve">Over 10 days = flag in weekly report</t>
  </si>
  <si>
    <t xml:space="preserve">error</t>
  </si>
  <si>
    <t xml:space="preserve">text or empty</t>
  </si>
  <si>
    <t xml:space="preserve">Any error the bot raised</t>
  </si>
  <si>
    <t xml:space="preserve">Any error = pause</t>
  </si>
  <si>
    <t xml:space="preserve">heartbeat_time</t>
  </si>
  <si>
    <t xml:space="preserve">Bot says 'I am alive' every cycle</t>
  </si>
  <si>
    <t xml:space="preserve">Missing for 2 cycles = pause</t>
  </si>
  <si>
    <t xml:space="preserve">correlation_id</t>
  </si>
  <si>
    <t xml:space="preserve">One id per decision; ties input, decision and result in the audit log</t>
  </si>
  <si>
    <t xml:space="preserve">Required</t>
  </si>
  <si>
    <t xml:space="preserve">Trigger</t>
  </si>
  <si>
    <t xml:space="preserve">Who enforces it</t>
  </si>
  <si>
    <t xml:space="preserve">Slippage</t>
  </si>
  <si>
    <t xml:space="preserve">Real slippage over 2x the model</t>
  </si>
  <si>
    <t xml:space="preserve">Pause that bot</t>
  </si>
  <si>
    <t xml:space="preserve">Risk engine (code)</t>
  </si>
  <si>
    <t xml:space="preserve">Drawdown</t>
  </si>
  <si>
    <t xml:space="preserve">Bot drawdown over 1.5x its backtest maximum</t>
  </si>
  <si>
    <t xml:space="preserve">Pause</t>
  </si>
  <si>
    <t xml:space="preserve">Live-paper Sharpe</t>
  </si>
  <si>
    <t xml:space="preserve">Below 0 over the last 50 trades</t>
  </si>
  <si>
    <t xml:space="preserve">Demote to shadow</t>
  </si>
  <si>
    <t xml:space="preserve">Gate / auditor (code)</t>
  </si>
  <si>
    <t xml:space="preserve">Losing streak</t>
  </si>
  <si>
    <t xml:space="preserve">3 losses in a row on one bot</t>
  </si>
  <si>
    <t xml:space="preserve">Pause for the day</t>
  </si>
  <si>
    <t xml:space="preserve">Fleet day loss</t>
  </si>
  <si>
    <t xml:space="preserve">-3% of paper capital</t>
  </si>
  <si>
    <t xml:space="preserve">HALT everything</t>
  </si>
  <si>
    <t xml:space="preserve">Fleet week loss</t>
  </si>
  <si>
    <t xml:space="preserve">-6% of paper capital</t>
  </si>
  <si>
    <t xml:space="preserve">HALT everything and ask Abhi for a review</t>
  </si>
  <si>
    <t xml:space="preserve">Crypto + meme risk</t>
  </si>
  <si>
    <t xml:space="preserve">Combined open risk over 40% of fleet risk</t>
  </si>
  <si>
    <t xml:space="preserve">Pause new entries in crypto and meme</t>
  </si>
  <si>
    <t xml:space="preserve">Meme sleeve</t>
  </si>
  <si>
    <t xml:space="preserve">Over 5% of paper capital</t>
  </si>
  <si>
    <t xml:space="preserve">Pause new meme entries</t>
  </si>
  <si>
    <t xml:space="preserve">Cost in R</t>
  </si>
  <si>
    <t xml:space="preserve">Bot's average cost over 0.33R</t>
  </si>
  <si>
    <t xml:space="preserve">Pause; between 0.20 and 0.33 = half size</t>
  </si>
  <si>
    <t xml:space="preserve">Stale data</t>
  </si>
  <si>
    <t xml:space="preserve">Last closed bar older than the bot's limit, or two sources disagree</t>
  </si>
  <si>
    <t xml:space="preserve">Pause the affected bots</t>
  </si>
  <si>
    <t xml:space="preserve">Data service + risk engine</t>
  </si>
  <si>
    <t xml:space="preserve">Unknown position / error</t>
  </si>
  <si>
    <t xml:space="preserve">Position not matching the log, or a bot error</t>
  </si>
  <si>
    <t xml:space="preserve">Missing heartbeat</t>
  </si>
  <si>
    <t xml:space="preserve">Two cycles missed</t>
  </si>
  <si>
    <t xml:space="preserve">HALT file exists</t>
  </si>
  <si>
    <t xml:space="preserve">File named HALT is present</t>
  </si>
  <si>
    <t xml:space="preserve">Nothing trades until Abhi deletes it at the keyboard</t>
  </si>
  <si>
    <t xml:space="preserve">Everything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</si>
</sst>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0</v>
      </c>
    </row>
    <row r="2" customFormat="false" ht="39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26.25" hidden="false" customHeight="true" outlineLevel="0" collapsed="false">
      <c r="A6" s="3" t="s">
        <v>5</v>
      </c>
    </row>
    <row r="7" customFormat="false" ht="26.25" hidden="false" customHeight="true" outlineLevel="0" collapsed="false">
      <c r="A7" s="3" t="s">
        <v>6</v>
      </c>
    </row>
    <row r="8" customFormat="false" ht="15" hidden="false" customHeight="true" outlineLevel="0" collapsed="false">
      <c r="A8" s="3" t="s">
        <v>7</v>
      </c>
    </row>
    <row r="9" customFormat="false" ht="15" hidden="false" customHeight="true" outlineLevel="0" collapsed="false">
      <c r="A9" s="3" t="s">
        <v>8</v>
      </c>
    </row>
    <row r="10" customFormat="false" ht="26.25" hidden="false" customHeight="true" outlineLevel="0" collapsed="false">
      <c r="A10" s="3" t="s">
        <v>9</v>
      </c>
    </row>
    <row r="11" customFormat="false" ht="26.25" hidden="false" customHeight="true" outlineLevel="0" collapsed="false">
      <c r="A11" s="3" t="s">
        <v>10</v>
      </c>
    </row>
    <row r="12" customFormat="false" ht="26.25" hidden="false" customHeight="true" outlineLevel="0" collapsed="false">
      <c r="A12" s="3" t="s">
        <v>11</v>
      </c>
    </row>
    <row r="13" customFormat="false" ht="26.25" hidden="false" customHeight="true" outlineLevel="0" collapsed="false">
      <c r="A13" s="3" t="s">
        <v>12</v>
      </c>
    </row>
    <row r="14" customFormat="false" ht="26.25" hidden="false" customHeight="true" outlineLevel="0" collapsed="false">
      <c r="A14" s="3" t="s">
        <v>13</v>
      </c>
    </row>
    <row r="15" customFormat="false" ht="15" hidden="false" customHeight="true" outlineLevel="0" collapsed="false">
      <c r="A15" s="3" t="s">
        <v>14</v>
      </c>
    </row>
    <row r="16" customFormat="false" ht="26.25" hidden="false" customHeight="true" outlineLevel="0" collapsed="false">
      <c r="A16" s="3" t="s">
        <v>15</v>
      </c>
    </row>
    <row r="17" customFormat="false" ht="26.25" hidden="false" customHeight="true" outlineLevel="0" collapsed="false">
      <c r="A17" s="3" t="s">
        <v>16</v>
      </c>
    </row>
    <row r="18" customFormat="false" ht="26.25" hidden="false" customHeight="true" outlineLevel="0" collapsed="false">
      <c r="A18" s="3" t="s">
        <v>17</v>
      </c>
    </row>
    <row r="19" customFormat="false" ht="15" hidden="false" customHeight="true" outlineLevel="0" collapsed="false">
      <c r="A19" s="3" t="s">
        <v>18</v>
      </c>
    </row>
    <row r="20" customFormat="false" ht="15" hidden="false" customHeight="false" outlineLevel="0" collapsed="false">
      <c r="A20" s="3" t="s">
        <v>19</v>
      </c>
    </row>
    <row r="21" customFormat="false" ht="15" hidden="false" customHeight="false" outlineLevel="0" collapsed="false">
      <c r="A21" s="3" t="s">
        <v>20</v>
      </c>
    </row>
    <row r="22" customFormat="false" ht="26.85" hidden="false" customHeight="false" outlineLevel="0" collapsed="false">
      <c r="A22" s="3" t="s">
        <v>21</v>
      </c>
    </row>
    <row r="23" customFormat="false" ht="26.85" hidden="false" customHeight="false" outlineLevel="0" collapsed="false">
      <c r="A23" s="3" t="s">
        <v>22</v>
      </c>
    </row>
    <row r="24" customFormat="false" ht="26.85" hidden="false" customHeight="false" outlineLevel="0" collapsed="false">
      <c r="A24" s="3" t="s">
        <v>23</v>
      </c>
    </row>
    <row r="25" customFormat="false" ht="15" hidden="false" customHeight="false" outlineLevel="0" collapsed="false">
      <c r="A25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6"/>
  </cols>
  <sheetData>
    <row r="1" customFormat="false" ht="17.25" hidden="false" customHeight="true" outlineLevel="0" collapsed="false">
      <c r="A1" s="5" t="s">
        <v>25</v>
      </c>
    </row>
    <row r="3" customFormat="false" ht="15" hidden="false" customHeight="true" outlineLevel="0" collapsed="false">
      <c r="A3" s="6" t="s">
        <v>26</v>
      </c>
      <c r="B3" s="6" t="s">
        <v>27</v>
      </c>
      <c r="C3" s="6" t="s">
        <v>28</v>
      </c>
    </row>
    <row r="4" customFormat="false" ht="15" hidden="false" customHeight="true" outlineLevel="0" collapsed="false">
      <c r="A4" s="7" t="s">
        <v>29</v>
      </c>
      <c r="B4" s="7" t="n">
        <f aca="false">COUNTIF(Bots!B:B,A4)</f>
        <v>3</v>
      </c>
      <c r="C4" s="7" t="s">
        <v>30</v>
      </c>
    </row>
    <row r="5" customFormat="false" ht="15" hidden="false" customHeight="true" outlineLevel="0" collapsed="false">
      <c r="A5" s="7" t="s">
        <v>31</v>
      </c>
      <c r="B5" s="7" t="n">
        <f aca="false">COUNTIF(Bots!B:B,A5)</f>
        <v>29</v>
      </c>
      <c r="C5" s="7" t="s">
        <v>32</v>
      </c>
    </row>
    <row r="6" customFormat="false" ht="15" hidden="false" customHeight="true" outlineLevel="0" collapsed="false">
      <c r="A6" s="7" t="s">
        <v>33</v>
      </c>
      <c r="B6" s="7" t="n">
        <f aca="false">COUNTIF(Bots!B:B,A6)</f>
        <v>27</v>
      </c>
      <c r="C6" s="7" t="s">
        <v>34</v>
      </c>
    </row>
    <row r="7" customFormat="false" ht="15" hidden="false" customHeight="true" outlineLevel="0" collapsed="false">
      <c r="A7" s="7" t="s">
        <v>35</v>
      </c>
      <c r="B7" s="7" t="n">
        <f aca="false">COUNTIF(Bots!B:B,A7)</f>
        <v>15</v>
      </c>
      <c r="C7" s="7" t="s">
        <v>36</v>
      </c>
    </row>
    <row r="8" customFormat="false" ht="15" hidden="false" customHeight="true" outlineLevel="0" collapsed="false">
      <c r="A8" s="7" t="s">
        <v>37</v>
      </c>
      <c r="B8" s="7" t="n">
        <f aca="false">COUNTIF(Bots!B:B,A8)</f>
        <v>25</v>
      </c>
      <c r="C8" s="7" t="s">
        <v>38</v>
      </c>
    </row>
    <row r="9" customFormat="false" ht="15" hidden="false" customHeight="true" outlineLevel="0" collapsed="false">
      <c r="A9" s="8" t="s">
        <v>39</v>
      </c>
      <c r="B9" s="8" t="n">
        <f aca="false">SUM(B4:B8)</f>
        <v>99</v>
      </c>
    </row>
    <row r="10" customFormat="false" ht="15" hidden="false" customHeight="true" outlineLevel="0" collapsed="false">
      <c r="A10" s="8" t="s">
        <v>40</v>
      </c>
      <c r="B10" s="8" t="n">
        <f aca="false">B9-B8</f>
        <v>74</v>
      </c>
    </row>
    <row r="11" customFormat="false" ht="15" hidden="false" customHeight="true" outlineLevel="0" collapsed="false">
      <c r="A11" s="8" t="s">
        <v>41</v>
      </c>
      <c r="B11" s="8" t="n">
        <f aca="false">COUNTIF(Bots!U:U,"Yes*")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1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7" min="7" style="1" width="6"/>
    <col collapsed="false" customWidth="true" hidden="false" outlineLevel="0" max="8" min="8" style="1" width="32"/>
    <col collapsed="false" customWidth="true" hidden="false" outlineLevel="0" max="10" min="9" style="1" width="10"/>
    <col collapsed="false" customWidth="true" hidden="false" outlineLevel="0" max="12" min="11" style="1" width="8"/>
    <col collapsed="false" customWidth="true" hidden="false" outlineLevel="0" max="13" min="13" style="1" width="18"/>
    <col collapsed="false" customWidth="true" hidden="false" outlineLevel="0" max="16" min="14" style="1" width="36"/>
    <col collapsed="false" customWidth="true" hidden="false" outlineLevel="0" max="17" min="17" style="1" width="44"/>
    <col collapsed="false" customWidth="true" hidden="false" outlineLevel="0" max="18" min="18" style="1" width="36"/>
    <col collapsed="false" customWidth="true" hidden="false" outlineLevel="0" max="19" min="19" style="1" width="60"/>
    <col collapsed="false" customWidth="true" hidden="false" outlineLevel="0" max="20" min="20" style="1" width="40"/>
    <col collapsed="false" customWidth="true" hidden="false" outlineLevel="0" max="21" min="21" style="1" width="18"/>
    <col collapsed="false" customWidth="true" hidden="false" outlineLevel="0" max="22" min="22" style="0" width="12"/>
    <col collapsed="false" customWidth="true" hidden="false" outlineLevel="0" max="23" min="23" style="0" width="26"/>
    <col collapsed="false" customWidth="true" hidden="false" outlineLevel="0" max="24" min="24" style="0" width="24"/>
  </cols>
  <sheetData>
    <row r="1" customFormat="false" ht="30" hidden="false" customHeight="true" outlineLevel="0" collapsed="false">
      <c r="A1" s="9" t="s">
        <v>42</v>
      </c>
      <c r="B1" s="9" t="s">
        <v>26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  <c r="T1" s="9" t="s">
        <v>60</v>
      </c>
      <c r="U1" s="9" t="s">
        <v>61</v>
      </c>
      <c r="V1" s="9" t="s">
        <v>62</v>
      </c>
      <c r="W1" s="9" t="s">
        <v>63</v>
      </c>
      <c r="X1" s="9" t="s">
        <v>64</v>
      </c>
    </row>
    <row r="2" customFormat="false" ht="23.25" hidden="false" customHeight="true" outlineLevel="0" collapsed="false">
      <c r="A2" s="10" t="s">
        <v>65</v>
      </c>
      <c r="B2" s="11" t="s">
        <v>29</v>
      </c>
      <c r="C2" s="10" t="s">
        <v>66</v>
      </c>
      <c r="D2" s="10" t="s">
        <v>67</v>
      </c>
      <c r="E2" s="10" t="s">
        <v>68</v>
      </c>
      <c r="F2" s="10" t="s">
        <v>69</v>
      </c>
      <c r="G2" s="10" t="s">
        <v>70</v>
      </c>
      <c r="H2" s="10" t="s">
        <v>71</v>
      </c>
      <c r="I2" s="10" t="n">
        <v>2.71</v>
      </c>
      <c r="J2" s="10" t="n">
        <v>12</v>
      </c>
      <c r="K2" s="10" t="n">
        <v>0.08</v>
      </c>
      <c r="L2" s="10" t="n">
        <v>0.06</v>
      </c>
      <c r="M2" s="10" t="s">
        <v>72</v>
      </c>
      <c r="N2" s="10" t="s">
        <v>73</v>
      </c>
      <c r="O2" s="10" t="s">
        <v>74</v>
      </c>
      <c r="P2" s="10" t="s">
        <v>71</v>
      </c>
      <c r="Q2" s="12" t="s">
        <v>75</v>
      </c>
      <c r="R2" s="12" t="s">
        <v>76</v>
      </c>
      <c r="S2" s="12" t="s">
        <v>77</v>
      </c>
      <c r="T2" s="10" t="s">
        <v>78</v>
      </c>
      <c r="U2" s="10" t="s">
        <v>79</v>
      </c>
      <c r="V2" s="10" t="n">
        <v>2</v>
      </c>
      <c r="W2" s="10" t="s">
        <v>80</v>
      </c>
      <c r="X2" s="10" t="s">
        <v>81</v>
      </c>
    </row>
    <row r="3" customFormat="false" ht="23.25" hidden="false" customHeight="true" outlineLevel="0" collapsed="false">
      <c r="A3" s="10" t="s">
        <v>82</v>
      </c>
      <c r="B3" s="11" t="s">
        <v>29</v>
      </c>
      <c r="C3" s="10" t="s">
        <v>66</v>
      </c>
      <c r="D3" s="10" t="s">
        <v>67</v>
      </c>
      <c r="E3" s="10" t="s">
        <v>68</v>
      </c>
      <c r="F3" s="10" t="s">
        <v>83</v>
      </c>
      <c r="G3" s="10" t="s">
        <v>70</v>
      </c>
      <c r="H3" s="10" t="s">
        <v>71</v>
      </c>
      <c r="I3" s="10" t="n">
        <v>0.49</v>
      </c>
      <c r="J3" s="10" t="n">
        <v>34</v>
      </c>
      <c r="K3" s="10" t="n">
        <v>0</v>
      </c>
      <c r="L3" s="10" t="n">
        <v>0.1</v>
      </c>
      <c r="M3" s="10" t="s">
        <v>72</v>
      </c>
      <c r="N3" s="10" t="s">
        <v>73</v>
      </c>
      <c r="O3" s="10" t="s">
        <v>74</v>
      </c>
      <c r="P3" s="10" t="s">
        <v>71</v>
      </c>
      <c r="Q3" s="12" t="s">
        <v>75</v>
      </c>
      <c r="R3" s="12" t="s">
        <v>76</v>
      </c>
      <c r="S3" s="12" t="s">
        <v>77</v>
      </c>
      <c r="T3" s="10" t="s">
        <v>84</v>
      </c>
      <c r="U3" s="10" t="s">
        <v>79</v>
      </c>
      <c r="V3" s="10" t="n">
        <v>2</v>
      </c>
      <c r="W3" s="10" t="s">
        <v>80</v>
      </c>
      <c r="X3" s="10" t="s">
        <v>81</v>
      </c>
    </row>
    <row r="4" customFormat="false" ht="23.25" hidden="false" customHeight="true" outlineLevel="0" collapsed="false">
      <c r="A4" s="10" t="s">
        <v>85</v>
      </c>
      <c r="B4" s="11" t="s">
        <v>29</v>
      </c>
      <c r="C4" s="10" t="s">
        <v>66</v>
      </c>
      <c r="D4" s="10" t="s">
        <v>67</v>
      </c>
      <c r="E4" s="10" t="s">
        <v>68</v>
      </c>
      <c r="F4" s="10" t="s">
        <v>86</v>
      </c>
      <c r="G4" s="10" t="s">
        <v>70</v>
      </c>
      <c r="H4" s="10" t="s">
        <v>71</v>
      </c>
      <c r="I4" s="10" t="n">
        <v>2.92</v>
      </c>
      <c r="J4" s="10" t="n">
        <v>14</v>
      </c>
      <c r="K4" s="10" t="n">
        <v>0.08</v>
      </c>
      <c r="L4" s="10" t="n">
        <v>0.5</v>
      </c>
      <c r="M4" s="10" t="s">
        <v>72</v>
      </c>
      <c r="N4" s="10" t="s">
        <v>73</v>
      </c>
      <c r="O4" s="10" t="s">
        <v>74</v>
      </c>
      <c r="P4" s="10" t="s">
        <v>71</v>
      </c>
      <c r="Q4" s="12" t="s">
        <v>75</v>
      </c>
      <c r="R4" s="12" t="s">
        <v>76</v>
      </c>
      <c r="S4" s="12" t="s">
        <v>77</v>
      </c>
      <c r="T4" s="10" t="s">
        <v>78</v>
      </c>
      <c r="U4" s="10" t="s">
        <v>79</v>
      </c>
      <c r="V4" s="10" t="n">
        <v>2</v>
      </c>
      <c r="W4" s="10" t="s">
        <v>80</v>
      </c>
      <c r="X4" s="10" t="s">
        <v>81</v>
      </c>
    </row>
    <row r="5" customFormat="false" ht="23.25" hidden="false" customHeight="true" outlineLevel="0" collapsed="false">
      <c r="A5" s="10" t="s">
        <v>87</v>
      </c>
      <c r="B5" s="13" t="s">
        <v>31</v>
      </c>
      <c r="C5" s="10" t="s">
        <v>66</v>
      </c>
      <c r="D5" s="10" t="s">
        <v>88</v>
      </c>
      <c r="E5" s="10" t="s">
        <v>89</v>
      </c>
      <c r="F5" s="10" t="s">
        <v>90</v>
      </c>
      <c r="G5" s="10" t="s">
        <v>70</v>
      </c>
      <c r="H5" s="10" t="s">
        <v>91</v>
      </c>
      <c r="I5" s="10" t="n">
        <v>-5.28</v>
      </c>
      <c r="J5" s="10" t="n">
        <v>86</v>
      </c>
      <c r="K5" s="10" t="n">
        <v>0</v>
      </c>
      <c r="L5" s="10" t="n">
        <v>0.28</v>
      </c>
      <c r="M5" s="10" t="s">
        <v>92</v>
      </c>
      <c r="N5" s="10" t="s">
        <v>93</v>
      </c>
      <c r="O5" s="10" t="s">
        <v>94</v>
      </c>
      <c r="P5" s="10" t="s">
        <v>95</v>
      </c>
      <c r="Q5" s="12" t="s">
        <v>96</v>
      </c>
      <c r="R5" s="12" t="s">
        <v>97</v>
      </c>
      <c r="S5" s="12" t="s">
        <v>98</v>
      </c>
      <c r="T5" s="10" t="s">
        <v>99</v>
      </c>
      <c r="U5" s="10" t="s">
        <v>79</v>
      </c>
      <c r="V5" s="10" t="n">
        <v>3</v>
      </c>
      <c r="W5" s="10" t="s">
        <v>100</v>
      </c>
      <c r="X5" s="10" t="s">
        <v>81</v>
      </c>
    </row>
    <row r="6" customFormat="false" ht="23.25" hidden="false" customHeight="true" outlineLevel="0" collapsed="false">
      <c r="A6" s="10" t="s">
        <v>101</v>
      </c>
      <c r="B6" s="13" t="s">
        <v>31</v>
      </c>
      <c r="C6" s="10" t="s">
        <v>66</v>
      </c>
      <c r="D6" s="10" t="s">
        <v>88</v>
      </c>
      <c r="E6" s="10" t="s">
        <v>89</v>
      </c>
      <c r="F6" s="10" t="s">
        <v>102</v>
      </c>
      <c r="G6" s="10" t="s">
        <v>70</v>
      </c>
      <c r="H6" s="10" t="s">
        <v>103</v>
      </c>
      <c r="I6" s="10" t="n">
        <v>-1.55</v>
      </c>
      <c r="J6" s="10" t="n">
        <v>48</v>
      </c>
      <c r="K6" s="10" t="n">
        <v>0.02</v>
      </c>
      <c r="L6" s="10"/>
      <c r="M6" s="10" t="s">
        <v>92</v>
      </c>
      <c r="N6" s="10" t="s">
        <v>93</v>
      </c>
      <c r="O6" s="10" t="s">
        <v>94</v>
      </c>
      <c r="P6" s="10" t="s">
        <v>95</v>
      </c>
      <c r="Q6" s="12" t="s">
        <v>96</v>
      </c>
      <c r="R6" s="12" t="s">
        <v>97</v>
      </c>
      <c r="S6" s="12" t="s">
        <v>98</v>
      </c>
      <c r="T6" s="10" t="s">
        <v>99</v>
      </c>
      <c r="U6" s="10" t="s">
        <v>79</v>
      </c>
      <c r="V6" s="10" t="n">
        <v>3</v>
      </c>
      <c r="W6" s="10" t="s">
        <v>100</v>
      </c>
      <c r="X6" s="10" t="s">
        <v>81</v>
      </c>
    </row>
    <row r="7" customFormat="false" ht="23.25" hidden="false" customHeight="true" outlineLevel="0" collapsed="false">
      <c r="A7" s="10" t="s">
        <v>104</v>
      </c>
      <c r="B7" s="13" t="s">
        <v>31</v>
      </c>
      <c r="C7" s="10" t="s">
        <v>66</v>
      </c>
      <c r="D7" s="10" t="s">
        <v>88</v>
      </c>
      <c r="E7" s="10" t="s">
        <v>89</v>
      </c>
      <c r="F7" s="10" t="s">
        <v>105</v>
      </c>
      <c r="G7" s="10" t="s">
        <v>70</v>
      </c>
      <c r="H7" s="10" t="s">
        <v>106</v>
      </c>
      <c r="I7" s="10" t="n">
        <v>-6.35</v>
      </c>
      <c r="J7" s="10" t="n">
        <v>58</v>
      </c>
      <c r="K7" s="10" t="n">
        <v>0</v>
      </c>
      <c r="L7" s="10" t="n">
        <v>0.12</v>
      </c>
      <c r="M7" s="10" t="s">
        <v>92</v>
      </c>
      <c r="N7" s="10" t="s">
        <v>93</v>
      </c>
      <c r="O7" s="10" t="s">
        <v>94</v>
      </c>
      <c r="P7" s="10" t="s">
        <v>95</v>
      </c>
      <c r="Q7" s="12" t="s">
        <v>96</v>
      </c>
      <c r="R7" s="12" t="s">
        <v>97</v>
      </c>
      <c r="S7" s="12" t="s">
        <v>98</v>
      </c>
      <c r="T7" s="10" t="s">
        <v>99</v>
      </c>
      <c r="U7" s="10" t="s">
        <v>79</v>
      </c>
      <c r="V7" s="10" t="n">
        <v>3</v>
      </c>
      <c r="W7" s="10" t="s">
        <v>100</v>
      </c>
      <c r="X7" s="10" t="s">
        <v>81</v>
      </c>
    </row>
    <row r="8" customFormat="false" ht="23.25" hidden="false" customHeight="true" outlineLevel="0" collapsed="false">
      <c r="A8" s="10" t="s">
        <v>107</v>
      </c>
      <c r="B8" s="13" t="s">
        <v>31</v>
      </c>
      <c r="C8" s="10" t="s">
        <v>108</v>
      </c>
      <c r="D8" s="10" t="s">
        <v>67</v>
      </c>
      <c r="E8" s="10" t="s">
        <v>68</v>
      </c>
      <c r="F8" s="10" t="s">
        <v>109</v>
      </c>
      <c r="G8" s="10" t="s">
        <v>70</v>
      </c>
      <c r="H8" s="10" t="s">
        <v>71</v>
      </c>
      <c r="I8" s="10" t="n">
        <v>-0.7</v>
      </c>
      <c r="J8" s="10" t="n">
        <v>20</v>
      </c>
      <c r="K8" s="10" t="n">
        <v>0</v>
      </c>
      <c r="L8" s="10" t="n">
        <v>0.5</v>
      </c>
      <c r="M8" s="10" t="s">
        <v>92</v>
      </c>
      <c r="N8" s="10" t="s">
        <v>73</v>
      </c>
      <c r="O8" s="10" t="s">
        <v>74</v>
      </c>
      <c r="P8" s="10" t="s">
        <v>71</v>
      </c>
      <c r="Q8" s="12" t="s">
        <v>75</v>
      </c>
      <c r="R8" s="12" t="s">
        <v>76</v>
      </c>
      <c r="S8" s="12" t="s">
        <v>110</v>
      </c>
      <c r="T8" s="10" t="s">
        <v>78</v>
      </c>
      <c r="U8" s="10" t="s">
        <v>79</v>
      </c>
      <c r="V8" s="10" t="n">
        <v>2</v>
      </c>
      <c r="W8" s="10" t="s">
        <v>80</v>
      </c>
      <c r="X8" s="10" t="s">
        <v>81</v>
      </c>
    </row>
    <row r="9" customFormat="false" ht="23.25" hidden="false" customHeight="true" outlineLevel="0" collapsed="false">
      <c r="A9" s="10" t="s">
        <v>111</v>
      </c>
      <c r="B9" s="13" t="s">
        <v>31</v>
      </c>
      <c r="C9" s="10" t="s">
        <v>108</v>
      </c>
      <c r="D9" s="10" t="s">
        <v>67</v>
      </c>
      <c r="E9" s="10" t="s">
        <v>68</v>
      </c>
      <c r="F9" s="10" t="s">
        <v>112</v>
      </c>
      <c r="G9" s="10" t="s">
        <v>70</v>
      </c>
      <c r="H9" s="10" t="s">
        <v>113</v>
      </c>
      <c r="I9" s="10" t="n">
        <v>-1.9</v>
      </c>
      <c r="J9" s="10" t="n">
        <v>36</v>
      </c>
      <c r="K9" s="10" t="n">
        <v>0</v>
      </c>
      <c r="L9" s="10" t="n">
        <v>0.19</v>
      </c>
      <c r="M9" s="10" t="s">
        <v>92</v>
      </c>
      <c r="N9" s="10" t="s">
        <v>73</v>
      </c>
      <c r="O9" s="10" t="s">
        <v>74</v>
      </c>
      <c r="P9" s="10" t="s">
        <v>71</v>
      </c>
      <c r="Q9" s="12" t="s">
        <v>75</v>
      </c>
      <c r="R9" s="12" t="s">
        <v>76</v>
      </c>
      <c r="S9" s="12" t="s">
        <v>110</v>
      </c>
      <c r="T9" s="10" t="s">
        <v>78</v>
      </c>
      <c r="U9" s="10" t="s">
        <v>79</v>
      </c>
      <c r="V9" s="10" t="n">
        <v>2</v>
      </c>
      <c r="W9" s="10" t="s">
        <v>80</v>
      </c>
      <c r="X9" s="10" t="s">
        <v>81</v>
      </c>
    </row>
    <row r="10" customFormat="false" ht="23.25" hidden="false" customHeight="true" outlineLevel="0" collapsed="false">
      <c r="A10" s="10" t="s">
        <v>114</v>
      </c>
      <c r="B10" s="13" t="s">
        <v>31</v>
      </c>
      <c r="C10" s="10" t="s">
        <v>108</v>
      </c>
      <c r="D10" s="10" t="s">
        <v>67</v>
      </c>
      <c r="E10" s="10" t="s">
        <v>68</v>
      </c>
      <c r="F10" s="10" t="s">
        <v>115</v>
      </c>
      <c r="G10" s="10" t="s">
        <v>70</v>
      </c>
      <c r="H10" s="10" t="s">
        <v>71</v>
      </c>
      <c r="I10" s="10"/>
      <c r="J10" s="10" t="n">
        <v>0</v>
      </c>
      <c r="K10" s="10" t="n">
        <v>0</v>
      </c>
      <c r="L10" s="10" t="n">
        <v>0.26</v>
      </c>
      <c r="M10" s="10" t="s">
        <v>92</v>
      </c>
      <c r="N10" s="10" t="s">
        <v>73</v>
      </c>
      <c r="O10" s="10" t="s">
        <v>74</v>
      </c>
      <c r="P10" s="10" t="s">
        <v>71</v>
      </c>
      <c r="Q10" s="12" t="s">
        <v>75</v>
      </c>
      <c r="R10" s="12" t="s">
        <v>76</v>
      </c>
      <c r="S10" s="12" t="s">
        <v>110</v>
      </c>
      <c r="T10" s="10" t="s">
        <v>78</v>
      </c>
      <c r="U10" s="10" t="s">
        <v>79</v>
      </c>
      <c r="V10" s="10" t="n">
        <v>2</v>
      </c>
      <c r="W10" s="10" t="s">
        <v>80</v>
      </c>
      <c r="X10" s="10" t="s">
        <v>81</v>
      </c>
    </row>
    <row r="11" customFormat="false" ht="23.25" hidden="false" customHeight="true" outlineLevel="0" collapsed="false">
      <c r="A11" s="10" t="s">
        <v>116</v>
      </c>
      <c r="B11" s="13" t="s">
        <v>31</v>
      </c>
      <c r="C11" s="10" t="s">
        <v>108</v>
      </c>
      <c r="D11" s="10" t="s">
        <v>67</v>
      </c>
      <c r="E11" s="10" t="s">
        <v>68</v>
      </c>
      <c r="F11" s="10" t="s">
        <v>117</v>
      </c>
      <c r="G11" s="10" t="s">
        <v>70</v>
      </c>
      <c r="H11" s="10" t="s">
        <v>113</v>
      </c>
      <c r="I11" s="10" t="n">
        <v>-1.48</v>
      </c>
      <c r="J11" s="10" t="n">
        <v>44</v>
      </c>
      <c r="K11" s="10" t="n">
        <v>0</v>
      </c>
      <c r="L11" s="10" t="n">
        <v>0.4</v>
      </c>
      <c r="M11" s="10" t="s">
        <v>92</v>
      </c>
      <c r="N11" s="10" t="s">
        <v>73</v>
      </c>
      <c r="O11" s="10" t="s">
        <v>74</v>
      </c>
      <c r="P11" s="10" t="s">
        <v>71</v>
      </c>
      <c r="Q11" s="12" t="s">
        <v>75</v>
      </c>
      <c r="R11" s="12" t="s">
        <v>76</v>
      </c>
      <c r="S11" s="12" t="s">
        <v>110</v>
      </c>
      <c r="T11" s="10" t="s">
        <v>78</v>
      </c>
      <c r="U11" s="10" t="s">
        <v>79</v>
      </c>
      <c r="V11" s="10" t="n">
        <v>2</v>
      </c>
      <c r="W11" s="10" t="s">
        <v>80</v>
      </c>
      <c r="X11" s="10" t="s">
        <v>81</v>
      </c>
    </row>
    <row r="12" customFormat="false" ht="23.25" hidden="false" customHeight="true" outlineLevel="0" collapsed="false">
      <c r="A12" s="10" t="s">
        <v>118</v>
      </c>
      <c r="B12" s="13" t="s">
        <v>31</v>
      </c>
      <c r="C12" s="10" t="s">
        <v>108</v>
      </c>
      <c r="D12" s="10" t="s">
        <v>67</v>
      </c>
      <c r="E12" s="10" t="s">
        <v>68</v>
      </c>
      <c r="F12" s="10" t="s">
        <v>119</v>
      </c>
      <c r="G12" s="10" t="s">
        <v>70</v>
      </c>
      <c r="H12" s="10" t="s">
        <v>71</v>
      </c>
      <c r="I12" s="10" t="n">
        <v>0.1</v>
      </c>
      <c r="J12" s="10" t="n">
        <v>8</v>
      </c>
      <c r="K12" s="10" t="n">
        <v>0</v>
      </c>
      <c r="L12" s="10" t="n">
        <v>0.25</v>
      </c>
      <c r="M12" s="10" t="s">
        <v>92</v>
      </c>
      <c r="N12" s="10" t="s">
        <v>73</v>
      </c>
      <c r="O12" s="10" t="s">
        <v>74</v>
      </c>
      <c r="P12" s="10" t="s">
        <v>71</v>
      </c>
      <c r="Q12" s="12" t="s">
        <v>75</v>
      </c>
      <c r="R12" s="12" t="s">
        <v>76</v>
      </c>
      <c r="S12" s="12" t="s">
        <v>110</v>
      </c>
      <c r="T12" s="10" t="s">
        <v>78</v>
      </c>
      <c r="U12" s="10" t="s">
        <v>79</v>
      </c>
      <c r="V12" s="10" t="n">
        <v>2</v>
      </c>
      <c r="W12" s="10" t="s">
        <v>80</v>
      </c>
      <c r="X12" s="10" t="s">
        <v>81</v>
      </c>
    </row>
    <row r="13" customFormat="false" ht="23.25" hidden="false" customHeight="true" outlineLevel="0" collapsed="false">
      <c r="A13" s="10" t="s">
        <v>120</v>
      </c>
      <c r="B13" s="13" t="s">
        <v>31</v>
      </c>
      <c r="C13" s="10" t="s">
        <v>108</v>
      </c>
      <c r="D13" s="10" t="s">
        <v>67</v>
      </c>
      <c r="E13" s="10" t="s">
        <v>68</v>
      </c>
      <c r="F13" s="10" t="s">
        <v>121</v>
      </c>
      <c r="G13" s="10" t="s">
        <v>70</v>
      </c>
      <c r="H13" s="10" t="s">
        <v>113</v>
      </c>
      <c r="I13" s="10" t="n">
        <v>-0.81</v>
      </c>
      <c r="J13" s="10" t="n">
        <v>42</v>
      </c>
      <c r="K13" s="10" t="n">
        <v>0</v>
      </c>
      <c r="L13" s="10" t="n">
        <v>0.59</v>
      </c>
      <c r="M13" s="10" t="s">
        <v>92</v>
      </c>
      <c r="N13" s="10" t="s">
        <v>73</v>
      </c>
      <c r="O13" s="10" t="s">
        <v>74</v>
      </c>
      <c r="P13" s="10" t="s">
        <v>71</v>
      </c>
      <c r="Q13" s="12" t="s">
        <v>75</v>
      </c>
      <c r="R13" s="12" t="s">
        <v>76</v>
      </c>
      <c r="S13" s="12" t="s">
        <v>110</v>
      </c>
      <c r="T13" s="10" t="s">
        <v>78</v>
      </c>
      <c r="U13" s="10" t="s">
        <v>79</v>
      </c>
      <c r="V13" s="10" t="n">
        <v>2</v>
      </c>
      <c r="W13" s="10" t="s">
        <v>80</v>
      </c>
      <c r="X13" s="10" t="s">
        <v>81</v>
      </c>
    </row>
    <row r="14" customFormat="false" ht="23.25" hidden="false" customHeight="true" outlineLevel="0" collapsed="false">
      <c r="A14" s="10" t="s">
        <v>122</v>
      </c>
      <c r="B14" s="13" t="s">
        <v>31</v>
      </c>
      <c r="C14" s="10" t="s">
        <v>108</v>
      </c>
      <c r="D14" s="10" t="s">
        <v>67</v>
      </c>
      <c r="E14" s="10" t="s">
        <v>68</v>
      </c>
      <c r="F14" s="10" t="s">
        <v>123</v>
      </c>
      <c r="G14" s="10" t="s">
        <v>70</v>
      </c>
      <c r="H14" s="10" t="s">
        <v>71</v>
      </c>
      <c r="I14" s="10" t="n">
        <v>-1.22</v>
      </c>
      <c r="J14" s="10" t="n">
        <v>26</v>
      </c>
      <c r="K14" s="10" t="n">
        <v>0</v>
      </c>
      <c r="L14" s="10" t="n">
        <v>0.06</v>
      </c>
      <c r="M14" s="10" t="s">
        <v>92</v>
      </c>
      <c r="N14" s="10" t="s">
        <v>73</v>
      </c>
      <c r="O14" s="10" t="s">
        <v>74</v>
      </c>
      <c r="P14" s="10" t="s">
        <v>71</v>
      </c>
      <c r="Q14" s="12" t="s">
        <v>75</v>
      </c>
      <c r="R14" s="12" t="s">
        <v>76</v>
      </c>
      <c r="S14" s="12" t="s">
        <v>110</v>
      </c>
      <c r="T14" s="10" t="s">
        <v>84</v>
      </c>
      <c r="U14" s="10" t="s">
        <v>79</v>
      </c>
      <c r="V14" s="10" t="n">
        <v>2</v>
      </c>
      <c r="W14" s="10" t="s">
        <v>80</v>
      </c>
      <c r="X14" s="10" t="s">
        <v>81</v>
      </c>
    </row>
    <row r="15" customFormat="false" ht="23.25" hidden="false" customHeight="true" outlineLevel="0" collapsed="false">
      <c r="A15" s="10" t="s">
        <v>124</v>
      </c>
      <c r="B15" s="13" t="s">
        <v>31</v>
      </c>
      <c r="C15" s="10" t="s">
        <v>108</v>
      </c>
      <c r="D15" s="10" t="s">
        <v>67</v>
      </c>
      <c r="E15" s="10" t="s">
        <v>68</v>
      </c>
      <c r="F15" s="10" t="s">
        <v>125</v>
      </c>
      <c r="G15" s="10" t="s">
        <v>70</v>
      </c>
      <c r="H15" s="10" t="s">
        <v>71</v>
      </c>
      <c r="I15" s="10" t="n">
        <v>-2.1</v>
      </c>
      <c r="J15" s="10" t="n">
        <v>24</v>
      </c>
      <c r="K15" s="10" t="n">
        <v>0</v>
      </c>
      <c r="L15" s="10" t="n">
        <v>0.54</v>
      </c>
      <c r="M15" s="10" t="s">
        <v>92</v>
      </c>
      <c r="N15" s="10" t="s">
        <v>73</v>
      </c>
      <c r="O15" s="10" t="s">
        <v>74</v>
      </c>
      <c r="P15" s="10" t="s">
        <v>71</v>
      </c>
      <c r="Q15" s="12" t="s">
        <v>75</v>
      </c>
      <c r="R15" s="12" t="s">
        <v>76</v>
      </c>
      <c r="S15" s="12" t="s">
        <v>110</v>
      </c>
      <c r="T15" s="10" t="s">
        <v>78</v>
      </c>
      <c r="U15" s="10" t="s">
        <v>79</v>
      </c>
      <c r="V15" s="10" t="n">
        <v>2</v>
      </c>
      <c r="W15" s="10" t="s">
        <v>80</v>
      </c>
      <c r="X15" s="10" t="s">
        <v>81</v>
      </c>
    </row>
    <row r="16" customFormat="false" ht="23.25" hidden="false" customHeight="true" outlineLevel="0" collapsed="false">
      <c r="A16" s="10" t="s">
        <v>126</v>
      </c>
      <c r="B16" s="13" t="s">
        <v>31</v>
      </c>
      <c r="C16" s="10" t="s">
        <v>108</v>
      </c>
      <c r="D16" s="10" t="s">
        <v>67</v>
      </c>
      <c r="E16" s="10" t="s">
        <v>68</v>
      </c>
      <c r="F16" s="10" t="s">
        <v>127</v>
      </c>
      <c r="G16" s="10" t="s">
        <v>70</v>
      </c>
      <c r="H16" s="10" t="s">
        <v>113</v>
      </c>
      <c r="I16" s="10" t="n">
        <v>1.15</v>
      </c>
      <c r="J16" s="10" t="n">
        <v>25</v>
      </c>
      <c r="K16" s="10" t="n">
        <v>0.01</v>
      </c>
      <c r="L16" s="10" t="n">
        <v>0.11</v>
      </c>
      <c r="M16" s="10" t="s">
        <v>92</v>
      </c>
      <c r="N16" s="10" t="s">
        <v>73</v>
      </c>
      <c r="O16" s="10" t="s">
        <v>74</v>
      </c>
      <c r="P16" s="10" t="s">
        <v>71</v>
      </c>
      <c r="Q16" s="12" t="s">
        <v>75</v>
      </c>
      <c r="R16" s="12" t="s">
        <v>76</v>
      </c>
      <c r="S16" s="12" t="s">
        <v>110</v>
      </c>
      <c r="T16" s="10" t="s">
        <v>78</v>
      </c>
      <c r="U16" s="10" t="s">
        <v>79</v>
      </c>
      <c r="V16" s="10" t="n">
        <v>2</v>
      </c>
      <c r="W16" s="10" t="s">
        <v>80</v>
      </c>
      <c r="X16" s="10" t="s">
        <v>81</v>
      </c>
    </row>
    <row r="17" customFormat="false" ht="23.25" hidden="false" customHeight="true" outlineLevel="0" collapsed="false">
      <c r="A17" s="10" t="s">
        <v>128</v>
      </c>
      <c r="B17" s="13" t="s">
        <v>31</v>
      </c>
      <c r="C17" s="10" t="s">
        <v>108</v>
      </c>
      <c r="D17" s="10" t="s">
        <v>67</v>
      </c>
      <c r="E17" s="10" t="s">
        <v>68</v>
      </c>
      <c r="F17" s="10" t="s">
        <v>129</v>
      </c>
      <c r="G17" s="10" t="s">
        <v>70</v>
      </c>
      <c r="H17" s="10" t="s">
        <v>71</v>
      </c>
      <c r="I17" s="10" t="n">
        <v>-0.52</v>
      </c>
      <c r="J17" s="10" t="n">
        <v>30</v>
      </c>
      <c r="K17" s="10" t="n">
        <v>0</v>
      </c>
      <c r="L17" s="10" t="n">
        <v>0.5</v>
      </c>
      <c r="M17" s="10" t="s">
        <v>92</v>
      </c>
      <c r="N17" s="10" t="s">
        <v>73</v>
      </c>
      <c r="O17" s="10" t="s">
        <v>74</v>
      </c>
      <c r="P17" s="10" t="s">
        <v>71</v>
      </c>
      <c r="Q17" s="12" t="s">
        <v>75</v>
      </c>
      <c r="R17" s="12" t="s">
        <v>76</v>
      </c>
      <c r="S17" s="12" t="s">
        <v>110</v>
      </c>
      <c r="T17" s="10" t="s">
        <v>78</v>
      </c>
      <c r="U17" s="10" t="s">
        <v>79</v>
      </c>
      <c r="V17" s="10" t="n">
        <v>2</v>
      </c>
      <c r="W17" s="10" t="s">
        <v>80</v>
      </c>
      <c r="X17" s="10" t="s">
        <v>81</v>
      </c>
    </row>
    <row r="18" customFormat="false" ht="23.25" hidden="false" customHeight="true" outlineLevel="0" collapsed="false">
      <c r="A18" s="10" t="s">
        <v>130</v>
      </c>
      <c r="B18" s="13" t="s">
        <v>31</v>
      </c>
      <c r="C18" s="10" t="s">
        <v>108</v>
      </c>
      <c r="D18" s="10" t="s">
        <v>67</v>
      </c>
      <c r="E18" s="10" t="s">
        <v>68</v>
      </c>
      <c r="F18" s="10" t="s">
        <v>131</v>
      </c>
      <c r="G18" s="10" t="s">
        <v>70</v>
      </c>
      <c r="H18" s="10" t="s">
        <v>71</v>
      </c>
      <c r="I18" s="10" t="n">
        <v>-1.89</v>
      </c>
      <c r="J18" s="10" t="n">
        <v>14</v>
      </c>
      <c r="K18" s="10" t="n">
        <v>0</v>
      </c>
      <c r="L18" s="10" t="n">
        <v>0.86</v>
      </c>
      <c r="M18" s="10" t="s">
        <v>92</v>
      </c>
      <c r="N18" s="10" t="s">
        <v>73</v>
      </c>
      <c r="O18" s="10" t="s">
        <v>74</v>
      </c>
      <c r="P18" s="10" t="s">
        <v>71</v>
      </c>
      <c r="Q18" s="12" t="s">
        <v>75</v>
      </c>
      <c r="R18" s="12" t="s">
        <v>76</v>
      </c>
      <c r="S18" s="12" t="s">
        <v>110</v>
      </c>
      <c r="T18" s="10" t="s">
        <v>78</v>
      </c>
      <c r="U18" s="10" t="s">
        <v>79</v>
      </c>
      <c r="V18" s="10" t="n">
        <v>2</v>
      </c>
      <c r="W18" s="10" t="s">
        <v>80</v>
      </c>
      <c r="X18" s="10" t="s">
        <v>81</v>
      </c>
    </row>
    <row r="19" customFormat="false" ht="23.25" hidden="false" customHeight="true" outlineLevel="0" collapsed="false">
      <c r="A19" s="10" t="s">
        <v>132</v>
      </c>
      <c r="B19" s="13" t="s">
        <v>31</v>
      </c>
      <c r="C19" s="10" t="s">
        <v>108</v>
      </c>
      <c r="D19" s="10" t="s">
        <v>67</v>
      </c>
      <c r="E19" s="10" t="s">
        <v>68</v>
      </c>
      <c r="F19" s="10" t="s">
        <v>133</v>
      </c>
      <c r="G19" s="10" t="s">
        <v>70</v>
      </c>
      <c r="H19" s="10" t="s">
        <v>71</v>
      </c>
      <c r="I19" s="10" t="n">
        <v>-2.7</v>
      </c>
      <c r="J19" s="10" t="n">
        <v>29</v>
      </c>
      <c r="K19" s="10" t="n">
        <v>0</v>
      </c>
      <c r="L19" s="10" t="n">
        <v>0.86</v>
      </c>
      <c r="M19" s="10" t="s">
        <v>92</v>
      </c>
      <c r="N19" s="10" t="s">
        <v>73</v>
      </c>
      <c r="O19" s="10" t="s">
        <v>74</v>
      </c>
      <c r="P19" s="10" t="s">
        <v>71</v>
      </c>
      <c r="Q19" s="12" t="s">
        <v>75</v>
      </c>
      <c r="R19" s="12" t="s">
        <v>76</v>
      </c>
      <c r="S19" s="12" t="s">
        <v>110</v>
      </c>
      <c r="T19" s="10" t="s">
        <v>84</v>
      </c>
      <c r="U19" s="10" t="s">
        <v>79</v>
      </c>
      <c r="V19" s="10" t="n">
        <v>2</v>
      </c>
      <c r="W19" s="10" t="s">
        <v>80</v>
      </c>
      <c r="X19" s="10" t="s">
        <v>81</v>
      </c>
    </row>
    <row r="20" customFormat="false" ht="23.25" hidden="false" customHeight="true" outlineLevel="0" collapsed="false">
      <c r="A20" s="10" t="s">
        <v>134</v>
      </c>
      <c r="B20" s="13" t="s">
        <v>31</v>
      </c>
      <c r="C20" s="10" t="s">
        <v>108</v>
      </c>
      <c r="D20" s="10" t="s">
        <v>67</v>
      </c>
      <c r="E20" s="10" t="s">
        <v>68</v>
      </c>
      <c r="F20" s="10" t="s">
        <v>135</v>
      </c>
      <c r="G20" s="10" t="s">
        <v>70</v>
      </c>
      <c r="H20" s="10" t="s">
        <v>113</v>
      </c>
      <c r="I20" s="10" t="n">
        <v>0.07</v>
      </c>
      <c r="J20" s="10" t="n">
        <v>29</v>
      </c>
      <c r="K20" s="10" t="n">
        <v>0</v>
      </c>
      <c r="L20" s="10" t="n">
        <v>0.02</v>
      </c>
      <c r="M20" s="10" t="s">
        <v>92</v>
      </c>
      <c r="N20" s="10" t="s">
        <v>73</v>
      </c>
      <c r="O20" s="10" t="s">
        <v>74</v>
      </c>
      <c r="P20" s="10" t="s">
        <v>71</v>
      </c>
      <c r="Q20" s="12" t="s">
        <v>75</v>
      </c>
      <c r="R20" s="12" t="s">
        <v>76</v>
      </c>
      <c r="S20" s="12" t="s">
        <v>110</v>
      </c>
      <c r="T20" s="10" t="s">
        <v>78</v>
      </c>
      <c r="U20" s="10" t="s">
        <v>79</v>
      </c>
      <c r="V20" s="10" t="n">
        <v>2</v>
      </c>
      <c r="W20" s="10" t="s">
        <v>80</v>
      </c>
      <c r="X20" s="10" t="s">
        <v>81</v>
      </c>
    </row>
    <row r="21" customFormat="false" ht="23.25" hidden="false" customHeight="true" outlineLevel="0" collapsed="false">
      <c r="A21" s="10" t="s">
        <v>136</v>
      </c>
      <c r="B21" s="13" t="s">
        <v>31</v>
      </c>
      <c r="C21" s="10" t="s">
        <v>108</v>
      </c>
      <c r="D21" s="10" t="s">
        <v>67</v>
      </c>
      <c r="E21" s="10" t="s">
        <v>68</v>
      </c>
      <c r="F21" s="10" t="s">
        <v>137</v>
      </c>
      <c r="G21" s="10" t="s">
        <v>70</v>
      </c>
      <c r="H21" s="10" t="s">
        <v>113</v>
      </c>
      <c r="I21" s="10" t="n">
        <v>-1.26</v>
      </c>
      <c r="J21" s="10" t="n">
        <v>22</v>
      </c>
      <c r="K21" s="10" t="n">
        <v>0</v>
      </c>
      <c r="L21" s="10" t="n">
        <v>0.05</v>
      </c>
      <c r="M21" s="10" t="s">
        <v>92</v>
      </c>
      <c r="N21" s="10" t="s">
        <v>73</v>
      </c>
      <c r="O21" s="10" t="s">
        <v>74</v>
      </c>
      <c r="P21" s="10" t="s">
        <v>71</v>
      </c>
      <c r="Q21" s="12" t="s">
        <v>75</v>
      </c>
      <c r="R21" s="12" t="s">
        <v>76</v>
      </c>
      <c r="S21" s="12" t="s">
        <v>110</v>
      </c>
      <c r="T21" s="10" t="s">
        <v>78</v>
      </c>
      <c r="U21" s="10" t="s">
        <v>79</v>
      </c>
      <c r="V21" s="10" t="n">
        <v>2</v>
      </c>
      <c r="W21" s="10" t="s">
        <v>80</v>
      </c>
      <c r="X21" s="10" t="s">
        <v>81</v>
      </c>
    </row>
    <row r="22" customFormat="false" ht="23.25" hidden="false" customHeight="true" outlineLevel="0" collapsed="false">
      <c r="A22" s="10" t="s">
        <v>138</v>
      </c>
      <c r="B22" s="13" t="s">
        <v>31</v>
      </c>
      <c r="C22" s="10" t="s">
        <v>139</v>
      </c>
      <c r="D22" s="10" t="s">
        <v>88</v>
      </c>
      <c r="E22" s="10" t="s">
        <v>140</v>
      </c>
      <c r="F22" s="10" t="s">
        <v>141</v>
      </c>
      <c r="G22" s="10" t="s">
        <v>70</v>
      </c>
      <c r="H22" s="10" t="s">
        <v>103</v>
      </c>
      <c r="I22" s="10" t="n">
        <v>1.39</v>
      </c>
      <c r="J22" s="10" t="n">
        <v>46</v>
      </c>
      <c r="K22" s="10" t="n">
        <v>0.23</v>
      </c>
      <c r="L22" s="10"/>
      <c r="M22" s="10" t="s">
        <v>92</v>
      </c>
      <c r="N22" s="10" t="s">
        <v>93</v>
      </c>
      <c r="O22" s="10" t="s">
        <v>142</v>
      </c>
      <c r="P22" s="10" t="s">
        <v>143</v>
      </c>
      <c r="Q22" s="12" t="s">
        <v>96</v>
      </c>
      <c r="R22" s="12" t="s">
        <v>97</v>
      </c>
      <c r="S22" s="12" t="s">
        <v>144</v>
      </c>
      <c r="T22" s="10" t="s">
        <v>99</v>
      </c>
      <c r="U22" s="10" t="s">
        <v>79</v>
      </c>
      <c r="V22" s="10" t="n">
        <v>3</v>
      </c>
      <c r="W22" s="10" t="s">
        <v>100</v>
      </c>
      <c r="X22" s="10" t="s">
        <v>81</v>
      </c>
    </row>
    <row r="23" customFormat="false" ht="23.25" hidden="false" customHeight="true" outlineLevel="0" collapsed="false">
      <c r="A23" s="10" t="s">
        <v>145</v>
      </c>
      <c r="B23" s="13" t="s">
        <v>31</v>
      </c>
      <c r="C23" s="10" t="s">
        <v>139</v>
      </c>
      <c r="D23" s="10" t="s">
        <v>88</v>
      </c>
      <c r="E23" s="10" t="s">
        <v>140</v>
      </c>
      <c r="F23" s="10" t="s">
        <v>146</v>
      </c>
      <c r="G23" s="10" t="s">
        <v>70</v>
      </c>
      <c r="H23" s="10" t="s">
        <v>103</v>
      </c>
      <c r="I23" s="10" t="n">
        <v>-0.74</v>
      </c>
      <c r="J23" s="10" t="n">
        <v>31</v>
      </c>
      <c r="K23" s="10" t="n">
        <v>0.01</v>
      </c>
      <c r="L23" s="10"/>
      <c r="M23" s="10" t="s">
        <v>92</v>
      </c>
      <c r="N23" s="10" t="s">
        <v>93</v>
      </c>
      <c r="O23" s="10" t="s">
        <v>142</v>
      </c>
      <c r="P23" s="10" t="s">
        <v>143</v>
      </c>
      <c r="Q23" s="12" t="s">
        <v>96</v>
      </c>
      <c r="R23" s="12" t="s">
        <v>97</v>
      </c>
      <c r="S23" s="12" t="s">
        <v>144</v>
      </c>
      <c r="T23" s="10" t="s">
        <v>99</v>
      </c>
      <c r="U23" s="10" t="s">
        <v>79</v>
      </c>
      <c r="V23" s="10" t="n">
        <v>3</v>
      </c>
      <c r="W23" s="10" t="s">
        <v>100</v>
      </c>
      <c r="X23" s="10" t="s">
        <v>81</v>
      </c>
    </row>
    <row r="24" customFormat="false" ht="23.25" hidden="false" customHeight="true" outlineLevel="0" collapsed="false">
      <c r="A24" s="10" t="s">
        <v>147</v>
      </c>
      <c r="B24" s="13" t="s">
        <v>31</v>
      </c>
      <c r="C24" s="10" t="s">
        <v>139</v>
      </c>
      <c r="D24" s="10" t="s">
        <v>88</v>
      </c>
      <c r="E24" s="10" t="s">
        <v>140</v>
      </c>
      <c r="F24" s="10" t="s">
        <v>148</v>
      </c>
      <c r="G24" s="10" t="s">
        <v>70</v>
      </c>
      <c r="H24" s="10" t="s">
        <v>103</v>
      </c>
      <c r="I24" s="10" t="n">
        <v>-1.24</v>
      </c>
      <c r="J24" s="10" t="n">
        <v>46</v>
      </c>
      <c r="K24" s="10" t="n">
        <v>0</v>
      </c>
      <c r="L24" s="10"/>
      <c r="M24" s="10" t="s">
        <v>92</v>
      </c>
      <c r="N24" s="10" t="s">
        <v>93</v>
      </c>
      <c r="O24" s="10" t="s">
        <v>142</v>
      </c>
      <c r="P24" s="10" t="s">
        <v>143</v>
      </c>
      <c r="Q24" s="12" t="s">
        <v>96</v>
      </c>
      <c r="R24" s="12" t="s">
        <v>97</v>
      </c>
      <c r="S24" s="12" t="s">
        <v>144</v>
      </c>
      <c r="T24" s="10" t="s">
        <v>149</v>
      </c>
      <c r="U24" s="10" t="s">
        <v>79</v>
      </c>
      <c r="V24" s="10" t="n">
        <v>3</v>
      </c>
      <c r="W24" s="10" t="s">
        <v>100</v>
      </c>
      <c r="X24" s="10" t="s">
        <v>81</v>
      </c>
    </row>
    <row r="25" customFormat="false" ht="23.25" hidden="false" customHeight="true" outlineLevel="0" collapsed="false">
      <c r="A25" s="10" t="s">
        <v>150</v>
      </c>
      <c r="B25" s="13" t="s">
        <v>31</v>
      </c>
      <c r="C25" s="10" t="s">
        <v>139</v>
      </c>
      <c r="D25" s="10" t="s">
        <v>88</v>
      </c>
      <c r="E25" s="10" t="s">
        <v>140</v>
      </c>
      <c r="F25" s="10" t="s">
        <v>151</v>
      </c>
      <c r="G25" s="10" t="s">
        <v>70</v>
      </c>
      <c r="H25" s="10" t="s">
        <v>103</v>
      </c>
      <c r="I25" s="10" t="n">
        <v>-1.26</v>
      </c>
      <c r="J25" s="10" t="n">
        <v>23</v>
      </c>
      <c r="K25" s="10" t="n">
        <v>0</v>
      </c>
      <c r="L25" s="10"/>
      <c r="M25" s="10" t="s">
        <v>92</v>
      </c>
      <c r="N25" s="10" t="s">
        <v>93</v>
      </c>
      <c r="O25" s="10" t="s">
        <v>142</v>
      </c>
      <c r="P25" s="10" t="s">
        <v>143</v>
      </c>
      <c r="Q25" s="12" t="s">
        <v>96</v>
      </c>
      <c r="R25" s="12" t="s">
        <v>97</v>
      </c>
      <c r="S25" s="12" t="s">
        <v>144</v>
      </c>
      <c r="T25" s="10" t="s">
        <v>152</v>
      </c>
      <c r="U25" s="10" t="s">
        <v>79</v>
      </c>
      <c r="V25" s="10" t="n">
        <v>3</v>
      </c>
      <c r="W25" s="10" t="s">
        <v>100</v>
      </c>
      <c r="X25" s="10" t="s">
        <v>81</v>
      </c>
    </row>
    <row r="26" customFormat="false" ht="23.25" hidden="false" customHeight="true" outlineLevel="0" collapsed="false">
      <c r="A26" s="10" t="s">
        <v>153</v>
      </c>
      <c r="B26" s="13" t="s">
        <v>31</v>
      </c>
      <c r="C26" s="10" t="s">
        <v>139</v>
      </c>
      <c r="D26" s="10" t="s">
        <v>88</v>
      </c>
      <c r="E26" s="10" t="s">
        <v>140</v>
      </c>
      <c r="F26" s="10" t="s">
        <v>154</v>
      </c>
      <c r="G26" s="10" t="s">
        <v>70</v>
      </c>
      <c r="H26" s="10" t="s">
        <v>103</v>
      </c>
      <c r="I26" s="10" t="n">
        <v>-1.14</v>
      </c>
      <c r="J26" s="10" t="n">
        <v>34</v>
      </c>
      <c r="K26" s="10" t="n">
        <v>0</v>
      </c>
      <c r="L26" s="10"/>
      <c r="M26" s="10" t="s">
        <v>92</v>
      </c>
      <c r="N26" s="10" t="s">
        <v>93</v>
      </c>
      <c r="O26" s="10" t="s">
        <v>142</v>
      </c>
      <c r="P26" s="10" t="s">
        <v>143</v>
      </c>
      <c r="Q26" s="12" t="s">
        <v>96</v>
      </c>
      <c r="R26" s="12" t="s">
        <v>97</v>
      </c>
      <c r="S26" s="12" t="s">
        <v>144</v>
      </c>
      <c r="T26" s="10" t="s">
        <v>155</v>
      </c>
      <c r="U26" s="10" t="s">
        <v>79</v>
      </c>
      <c r="V26" s="10" t="n">
        <v>3</v>
      </c>
      <c r="W26" s="10" t="s">
        <v>100</v>
      </c>
      <c r="X26" s="10" t="s">
        <v>81</v>
      </c>
    </row>
    <row r="27" customFormat="false" ht="23.25" hidden="false" customHeight="true" outlineLevel="0" collapsed="false">
      <c r="A27" s="10" t="s">
        <v>156</v>
      </c>
      <c r="B27" s="13" t="s">
        <v>31</v>
      </c>
      <c r="C27" s="10" t="s">
        <v>139</v>
      </c>
      <c r="D27" s="10" t="s">
        <v>88</v>
      </c>
      <c r="E27" s="10" t="s">
        <v>140</v>
      </c>
      <c r="F27" s="10" t="s">
        <v>157</v>
      </c>
      <c r="G27" s="10" t="s">
        <v>70</v>
      </c>
      <c r="H27" s="10" t="s">
        <v>103</v>
      </c>
      <c r="I27" s="10" t="n">
        <v>-0.6</v>
      </c>
      <c r="J27" s="10" t="n">
        <v>33</v>
      </c>
      <c r="K27" s="10" t="n">
        <v>0</v>
      </c>
      <c r="L27" s="10"/>
      <c r="M27" s="10" t="s">
        <v>92</v>
      </c>
      <c r="N27" s="10" t="s">
        <v>93</v>
      </c>
      <c r="O27" s="10" t="s">
        <v>142</v>
      </c>
      <c r="P27" s="10" t="s">
        <v>143</v>
      </c>
      <c r="Q27" s="12" t="s">
        <v>96</v>
      </c>
      <c r="R27" s="12" t="s">
        <v>97</v>
      </c>
      <c r="S27" s="12" t="s">
        <v>144</v>
      </c>
      <c r="T27" s="10" t="s">
        <v>99</v>
      </c>
      <c r="U27" s="10" t="s">
        <v>79</v>
      </c>
      <c r="V27" s="10" t="n">
        <v>3</v>
      </c>
      <c r="W27" s="10" t="s">
        <v>100</v>
      </c>
      <c r="X27" s="10" t="s">
        <v>81</v>
      </c>
    </row>
    <row r="28" customFormat="false" ht="23.25" hidden="false" customHeight="true" outlineLevel="0" collapsed="false">
      <c r="A28" s="10" t="s">
        <v>158</v>
      </c>
      <c r="B28" s="13" t="s">
        <v>31</v>
      </c>
      <c r="C28" s="10" t="s">
        <v>139</v>
      </c>
      <c r="D28" s="10" t="s">
        <v>88</v>
      </c>
      <c r="E28" s="10" t="s">
        <v>140</v>
      </c>
      <c r="F28" s="10" t="s">
        <v>159</v>
      </c>
      <c r="G28" s="10" t="s">
        <v>70</v>
      </c>
      <c r="H28" s="10" t="s">
        <v>103</v>
      </c>
      <c r="I28" s="10" t="n">
        <v>-1.47</v>
      </c>
      <c r="J28" s="10" t="n">
        <v>35</v>
      </c>
      <c r="K28" s="10" t="n">
        <v>0</v>
      </c>
      <c r="L28" s="10"/>
      <c r="M28" s="10" t="s">
        <v>92</v>
      </c>
      <c r="N28" s="10" t="s">
        <v>93</v>
      </c>
      <c r="O28" s="10" t="s">
        <v>142</v>
      </c>
      <c r="P28" s="10" t="s">
        <v>143</v>
      </c>
      <c r="Q28" s="12" t="s">
        <v>96</v>
      </c>
      <c r="R28" s="12" t="s">
        <v>97</v>
      </c>
      <c r="S28" s="12" t="s">
        <v>144</v>
      </c>
      <c r="T28" s="10" t="s">
        <v>99</v>
      </c>
      <c r="U28" s="10" t="s">
        <v>79</v>
      </c>
      <c r="V28" s="10" t="n">
        <v>3</v>
      </c>
      <c r="W28" s="10" t="s">
        <v>100</v>
      </c>
      <c r="X28" s="10" t="s">
        <v>81</v>
      </c>
    </row>
    <row r="29" customFormat="false" ht="23.25" hidden="false" customHeight="true" outlineLevel="0" collapsed="false">
      <c r="A29" s="10" t="s">
        <v>160</v>
      </c>
      <c r="B29" s="13" t="s">
        <v>31</v>
      </c>
      <c r="C29" s="10" t="s">
        <v>139</v>
      </c>
      <c r="D29" s="10" t="s">
        <v>88</v>
      </c>
      <c r="E29" s="10" t="s">
        <v>140</v>
      </c>
      <c r="F29" s="10" t="s">
        <v>161</v>
      </c>
      <c r="G29" s="10" t="s">
        <v>70</v>
      </c>
      <c r="H29" s="10" t="s">
        <v>91</v>
      </c>
      <c r="I29" s="10" t="n">
        <v>0.31</v>
      </c>
      <c r="J29" s="10" t="n">
        <v>56</v>
      </c>
      <c r="K29" s="10" t="n">
        <v>0</v>
      </c>
      <c r="L29" s="10" t="n">
        <v>0.52</v>
      </c>
      <c r="M29" s="10" t="s">
        <v>92</v>
      </c>
      <c r="N29" s="10" t="s">
        <v>93</v>
      </c>
      <c r="O29" s="10" t="s">
        <v>142</v>
      </c>
      <c r="P29" s="10" t="s">
        <v>143</v>
      </c>
      <c r="Q29" s="12" t="s">
        <v>96</v>
      </c>
      <c r="R29" s="12" t="s">
        <v>97</v>
      </c>
      <c r="S29" s="12" t="s">
        <v>144</v>
      </c>
      <c r="T29" s="10" t="s">
        <v>162</v>
      </c>
      <c r="U29" s="10" t="s">
        <v>79</v>
      </c>
      <c r="V29" s="10" t="n">
        <v>3</v>
      </c>
      <c r="W29" s="10" t="s">
        <v>100</v>
      </c>
      <c r="X29" s="10" t="s">
        <v>81</v>
      </c>
    </row>
    <row r="30" customFormat="false" ht="23.25" hidden="false" customHeight="true" outlineLevel="0" collapsed="false">
      <c r="A30" s="10" t="s">
        <v>163</v>
      </c>
      <c r="B30" s="13" t="s">
        <v>31</v>
      </c>
      <c r="C30" s="10" t="s">
        <v>139</v>
      </c>
      <c r="D30" s="10" t="s">
        <v>88</v>
      </c>
      <c r="E30" s="10" t="s">
        <v>140</v>
      </c>
      <c r="F30" s="10" t="s">
        <v>164</v>
      </c>
      <c r="G30" s="10" t="s">
        <v>70</v>
      </c>
      <c r="H30" s="10" t="s">
        <v>103</v>
      </c>
      <c r="I30" s="10" t="n">
        <v>-0.77</v>
      </c>
      <c r="J30" s="10" t="n">
        <v>24</v>
      </c>
      <c r="K30" s="10" t="n">
        <v>0</v>
      </c>
      <c r="L30" s="10"/>
      <c r="M30" s="10" t="s">
        <v>92</v>
      </c>
      <c r="N30" s="10" t="s">
        <v>93</v>
      </c>
      <c r="O30" s="10" t="s">
        <v>142</v>
      </c>
      <c r="P30" s="10" t="s">
        <v>143</v>
      </c>
      <c r="Q30" s="12" t="s">
        <v>96</v>
      </c>
      <c r="R30" s="12" t="s">
        <v>97</v>
      </c>
      <c r="S30" s="12" t="s">
        <v>144</v>
      </c>
      <c r="T30" s="10" t="s">
        <v>149</v>
      </c>
      <c r="U30" s="10" t="s">
        <v>79</v>
      </c>
      <c r="V30" s="10" t="n">
        <v>3</v>
      </c>
      <c r="W30" s="10" t="s">
        <v>100</v>
      </c>
      <c r="X30" s="10" t="s">
        <v>81</v>
      </c>
    </row>
    <row r="31" customFormat="false" ht="23.25" hidden="false" customHeight="true" outlineLevel="0" collapsed="false">
      <c r="A31" s="10" t="s">
        <v>165</v>
      </c>
      <c r="B31" s="13" t="s">
        <v>31</v>
      </c>
      <c r="C31" s="10" t="s">
        <v>139</v>
      </c>
      <c r="D31" s="10" t="s">
        <v>88</v>
      </c>
      <c r="E31" s="10" t="s">
        <v>140</v>
      </c>
      <c r="F31" s="10" t="s">
        <v>166</v>
      </c>
      <c r="G31" s="10" t="s">
        <v>70</v>
      </c>
      <c r="H31" s="10" t="s">
        <v>91</v>
      </c>
      <c r="I31" s="10" t="n">
        <v>0.3</v>
      </c>
      <c r="J31" s="10" t="n">
        <v>37</v>
      </c>
      <c r="K31" s="10" t="n">
        <v>0</v>
      </c>
      <c r="L31" s="10" t="n">
        <v>0.81</v>
      </c>
      <c r="M31" s="10" t="s">
        <v>92</v>
      </c>
      <c r="N31" s="10" t="s">
        <v>93</v>
      </c>
      <c r="O31" s="10" t="s">
        <v>142</v>
      </c>
      <c r="P31" s="10" t="s">
        <v>143</v>
      </c>
      <c r="Q31" s="12" t="s">
        <v>96</v>
      </c>
      <c r="R31" s="12" t="s">
        <v>97</v>
      </c>
      <c r="S31" s="12" t="s">
        <v>144</v>
      </c>
      <c r="T31" s="10" t="s">
        <v>167</v>
      </c>
      <c r="U31" s="10" t="s">
        <v>79</v>
      </c>
      <c r="V31" s="10" t="n">
        <v>3</v>
      </c>
      <c r="W31" s="10" t="s">
        <v>100</v>
      </c>
      <c r="X31" s="10" t="s">
        <v>81</v>
      </c>
    </row>
    <row r="32" customFormat="false" ht="23.25" hidden="false" customHeight="true" outlineLevel="0" collapsed="false">
      <c r="A32" s="10" t="s">
        <v>168</v>
      </c>
      <c r="B32" s="13" t="s">
        <v>31</v>
      </c>
      <c r="C32" s="10" t="s">
        <v>139</v>
      </c>
      <c r="D32" s="10" t="s">
        <v>88</v>
      </c>
      <c r="E32" s="10" t="s">
        <v>140</v>
      </c>
      <c r="F32" s="10" t="s">
        <v>169</v>
      </c>
      <c r="G32" s="10" t="s">
        <v>70</v>
      </c>
      <c r="H32" s="10" t="s">
        <v>103</v>
      </c>
      <c r="I32" s="10" t="n">
        <v>0.73</v>
      </c>
      <c r="J32" s="10" t="n">
        <v>24</v>
      </c>
      <c r="K32" s="10" t="n">
        <v>0.02</v>
      </c>
      <c r="L32" s="10"/>
      <c r="M32" s="10" t="s">
        <v>92</v>
      </c>
      <c r="N32" s="10" t="s">
        <v>93</v>
      </c>
      <c r="O32" s="10" t="s">
        <v>142</v>
      </c>
      <c r="P32" s="10" t="s">
        <v>143</v>
      </c>
      <c r="Q32" s="12" t="s">
        <v>96</v>
      </c>
      <c r="R32" s="12" t="s">
        <v>97</v>
      </c>
      <c r="S32" s="12" t="s">
        <v>144</v>
      </c>
      <c r="T32" s="10" t="s">
        <v>170</v>
      </c>
      <c r="U32" s="10" t="s">
        <v>79</v>
      </c>
      <c r="V32" s="10" t="n">
        <v>3</v>
      </c>
      <c r="W32" s="10" t="s">
        <v>100</v>
      </c>
      <c r="X32" s="10" t="s">
        <v>81</v>
      </c>
    </row>
    <row r="33" customFormat="false" ht="23.25" hidden="false" customHeight="true" outlineLevel="0" collapsed="false">
      <c r="A33" s="10" t="s">
        <v>171</v>
      </c>
      <c r="B33" s="13" t="s">
        <v>31</v>
      </c>
      <c r="C33" s="10" t="s">
        <v>139</v>
      </c>
      <c r="D33" s="10" t="s">
        <v>88</v>
      </c>
      <c r="E33" s="10" t="s">
        <v>172</v>
      </c>
      <c r="F33" s="10" t="s">
        <v>173</v>
      </c>
      <c r="G33" s="10" t="s">
        <v>70</v>
      </c>
      <c r="H33" s="10" t="s">
        <v>174</v>
      </c>
      <c r="I33" s="10" t="n">
        <v>0.25</v>
      </c>
      <c r="J33" s="10" t="n">
        <v>30</v>
      </c>
      <c r="K33" s="10" t="n">
        <v>0</v>
      </c>
      <c r="L33" s="10" t="n">
        <v>0.25</v>
      </c>
      <c r="M33" s="10" t="s">
        <v>92</v>
      </c>
      <c r="N33" s="10" t="s">
        <v>74</v>
      </c>
      <c r="O33" s="10" t="s">
        <v>175</v>
      </c>
      <c r="P33" s="10" t="s">
        <v>176</v>
      </c>
      <c r="Q33" s="12" t="s">
        <v>96</v>
      </c>
      <c r="R33" s="12" t="s">
        <v>97</v>
      </c>
      <c r="S33" s="12" t="s">
        <v>144</v>
      </c>
      <c r="T33" s="10" t="s">
        <v>177</v>
      </c>
      <c r="U33" s="10" t="s">
        <v>79</v>
      </c>
      <c r="V33" s="10" t="n">
        <v>3</v>
      </c>
      <c r="W33" s="10" t="s">
        <v>100</v>
      </c>
      <c r="X33" s="10" t="s">
        <v>81</v>
      </c>
    </row>
    <row r="34" customFormat="false" ht="23.25" hidden="false" customHeight="true" outlineLevel="0" collapsed="false">
      <c r="A34" s="10" t="s">
        <v>178</v>
      </c>
      <c r="B34" s="14" t="s">
        <v>33</v>
      </c>
      <c r="C34" s="10" t="s">
        <v>179</v>
      </c>
      <c r="D34" s="10" t="s">
        <v>67</v>
      </c>
      <c r="E34" s="10" t="s">
        <v>180</v>
      </c>
      <c r="F34" s="10" t="s">
        <v>181</v>
      </c>
      <c r="G34" s="10" t="s">
        <v>182</v>
      </c>
      <c r="H34" s="10" t="s">
        <v>183</v>
      </c>
      <c r="I34" s="10" t="n">
        <v>0.69</v>
      </c>
      <c r="J34" s="10" t="n">
        <v>2</v>
      </c>
      <c r="K34" s="10" t="n">
        <v>0.01</v>
      </c>
      <c r="L34" s="10"/>
      <c r="M34" s="10" t="s">
        <v>92</v>
      </c>
      <c r="N34" s="10" t="s">
        <v>184</v>
      </c>
      <c r="O34" s="10" t="s">
        <v>185</v>
      </c>
      <c r="P34" s="10" t="s">
        <v>186</v>
      </c>
      <c r="Q34" s="12" t="s">
        <v>187</v>
      </c>
      <c r="R34" s="12" t="s">
        <v>76</v>
      </c>
      <c r="S34" s="12" t="s">
        <v>188</v>
      </c>
      <c r="T34" s="10" t="s">
        <v>189</v>
      </c>
      <c r="U34" s="10" t="s">
        <v>79</v>
      </c>
      <c r="V34" s="10" t="n">
        <v>2</v>
      </c>
      <c r="W34" s="10" t="s">
        <v>80</v>
      </c>
      <c r="X34" s="10" t="s">
        <v>190</v>
      </c>
    </row>
    <row r="35" customFormat="false" ht="23.25" hidden="false" customHeight="true" outlineLevel="0" collapsed="false">
      <c r="A35" s="10" t="s">
        <v>191</v>
      </c>
      <c r="B35" s="14" t="s">
        <v>33</v>
      </c>
      <c r="C35" s="10" t="s">
        <v>179</v>
      </c>
      <c r="D35" s="10" t="s">
        <v>67</v>
      </c>
      <c r="E35" s="10" t="s">
        <v>180</v>
      </c>
      <c r="F35" s="10" t="s">
        <v>192</v>
      </c>
      <c r="G35" s="10" t="s">
        <v>182</v>
      </c>
      <c r="H35" s="10" t="s">
        <v>193</v>
      </c>
      <c r="I35" s="10" t="n">
        <v>-7.53</v>
      </c>
      <c r="J35" s="10" t="n">
        <v>6</v>
      </c>
      <c r="K35" s="10" t="n">
        <v>0</v>
      </c>
      <c r="L35" s="10"/>
      <c r="M35" s="10" t="s">
        <v>92</v>
      </c>
      <c r="N35" s="10" t="s">
        <v>184</v>
      </c>
      <c r="O35" s="10" t="s">
        <v>185</v>
      </c>
      <c r="P35" s="10" t="s">
        <v>186</v>
      </c>
      <c r="Q35" s="12" t="s">
        <v>187</v>
      </c>
      <c r="R35" s="12" t="s">
        <v>76</v>
      </c>
      <c r="S35" s="12" t="s">
        <v>188</v>
      </c>
      <c r="T35" s="10" t="s">
        <v>189</v>
      </c>
      <c r="U35" s="10" t="s">
        <v>79</v>
      </c>
      <c r="V35" s="10" t="n">
        <v>2</v>
      </c>
      <c r="W35" s="10" t="s">
        <v>80</v>
      </c>
      <c r="X35" s="10" t="s">
        <v>190</v>
      </c>
    </row>
    <row r="36" customFormat="false" ht="23.25" hidden="false" customHeight="true" outlineLevel="0" collapsed="false">
      <c r="A36" s="10" t="s">
        <v>194</v>
      </c>
      <c r="B36" s="14" t="s">
        <v>33</v>
      </c>
      <c r="C36" s="10" t="s">
        <v>179</v>
      </c>
      <c r="D36" s="10" t="s">
        <v>67</v>
      </c>
      <c r="E36" s="10" t="s">
        <v>180</v>
      </c>
      <c r="F36" s="10" t="s">
        <v>195</v>
      </c>
      <c r="G36" s="10" t="s">
        <v>182</v>
      </c>
      <c r="H36" s="10" t="s">
        <v>183</v>
      </c>
      <c r="I36" s="10" t="n">
        <v>-7.12</v>
      </c>
      <c r="J36" s="10" t="n">
        <v>3</v>
      </c>
      <c r="K36" s="10" t="n">
        <v>0</v>
      </c>
      <c r="L36" s="10"/>
      <c r="M36" s="10" t="s">
        <v>92</v>
      </c>
      <c r="N36" s="10" t="s">
        <v>184</v>
      </c>
      <c r="O36" s="10" t="s">
        <v>185</v>
      </c>
      <c r="P36" s="10" t="s">
        <v>186</v>
      </c>
      <c r="Q36" s="12" t="s">
        <v>187</v>
      </c>
      <c r="R36" s="12" t="s">
        <v>76</v>
      </c>
      <c r="S36" s="12" t="s">
        <v>188</v>
      </c>
      <c r="T36" s="10" t="s">
        <v>189</v>
      </c>
      <c r="U36" s="10" t="s">
        <v>79</v>
      </c>
      <c r="V36" s="10" t="n">
        <v>2</v>
      </c>
      <c r="W36" s="10" t="s">
        <v>80</v>
      </c>
      <c r="X36" s="10" t="s">
        <v>190</v>
      </c>
    </row>
    <row r="37" customFormat="false" ht="23.25" hidden="false" customHeight="true" outlineLevel="0" collapsed="false">
      <c r="A37" s="10" t="s">
        <v>196</v>
      </c>
      <c r="B37" s="14" t="s">
        <v>33</v>
      </c>
      <c r="C37" s="10" t="s">
        <v>179</v>
      </c>
      <c r="D37" s="10" t="s">
        <v>67</v>
      </c>
      <c r="E37" s="10" t="s">
        <v>180</v>
      </c>
      <c r="F37" s="10" t="s">
        <v>197</v>
      </c>
      <c r="G37" s="10" t="s">
        <v>182</v>
      </c>
      <c r="H37" s="10" t="s">
        <v>183</v>
      </c>
      <c r="I37" s="10" t="n">
        <v>5.94</v>
      </c>
      <c r="J37" s="10" t="n">
        <v>5</v>
      </c>
      <c r="K37" s="10" t="n">
        <v>0.06</v>
      </c>
      <c r="L37" s="10"/>
      <c r="M37" s="10" t="s">
        <v>92</v>
      </c>
      <c r="N37" s="10" t="s">
        <v>184</v>
      </c>
      <c r="O37" s="10" t="s">
        <v>185</v>
      </c>
      <c r="P37" s="10" t="s">
        <v>186</v>
      </c>
      <c r="Q37" s="12" t="s">
        <v>187</v>
      </c>
      <c r="R37" s="12" t="s">
        <v>76</v>
      </c>
      <c r="S37" s="12" t="s">
        <v>188</v>
      </c>
      <c r="T37" s="10" t="s">
        <v>189</v>
      </c>
      <c r="U37" s="10" t="s">
        <v>79</v>
      </c>
      <c r="V37" s="10" t="n">
        <v>2</v>
      </c>
      <c r="W37" s="10" t="s">
        <v>80</v>
      </c>
      <c r="X37" s="10" t="s">
        <v>190</v>
      </c>
    </row>
    <row r="38" customFormat="false" ht="23.25" hidden="false" customHeight="true" outlineLevel="0" collapsed="false">
      <c r="A38" s="10" t="s">
        <v>198</v>
      </c>
      <c r="B38" s="14" t="s">
        <v>33</v>
      </c>
      <c r="C38" s="10" t="s">
        <v>179</v>
      </c>
      <c r="D38" s="10" t="s">
        <v>67</v>
      </c>
      <c r="E38" s="10" t="s">
        <v>180</v>
      </c>
      <c r="F38" s="10" t="s">
        <v>199</v>
      </c>
      <c r="G38" s="10" t="s">
        <v>182</v>
      </c>
      <c r="H38" s="10" t="s">
        <v>183</v>
      </c>
      <c r="I38" s="10" t="n">
        <v>-7.32</v>
      </c>
      <c r="J38" s="10" t="n">
        <v>3</v>
      </c>
      <c r="K38" s="10" t="n">
        <v>0</v>
      </c>
      <c r="L38" s="10"/>
      <c r="M38" s="10" t="s">
        <v>92</v>
      </c>
      <c r="N38" s="10" t="s">
        <v>184</v>
      </c>
      <c r="O38" s="10" t="s">
        <v>185</v>
      </c>
      <c r="P38" s="10" t="s">
        <v>186</v>
      </c>
      <c r="Q38" s="12" t="s">
        <v>187</v>
      </c>
      <c r="R38" s="12" t="s">
        <v>76</v>
      </c>
      <c r="S38" s="12" t="s">
        <v>188</v>
      </c>
      <c r="T38" s="10" t="s">
        <v>189</v>
      </c>
      <c r="U38" s="10" t="s">
        <v>79</v>
      </c>
      <c r="V38" s="10" t="n">
        <v>2</v>
      </c>
      <c r="W38" s="10" t="s">
        <v>80</v>
      </c>
      <c r="X38" s="10" t="s">
        <v>190</v>
      </c>
    </row>
    <row r="39" customFormat="false" ht="23.25" hidden="false" customHeight="true" outlineLevel="0" collapsed="false">
      <c r="A39" s="10" t="s">
        <v>200</v>
      </c>
      <c r="B39" s="14" t="s">
        <v>33</v>
      </c>
      <c r="C39" s="10" t="s">
        <v>179</v>
      </c>
      <c r="D39" s="10" t="s">
        <v>67</v>
      </c>
      <c r="E39" s="10" t="s">
        <v>180</v>
      </c>
      <c r="F39" s="10" t="s">
        <v>201</v>
      </c>
      <c r="G39" s="10" t="s">
        <v>182</v>
      </c>
      <c r="H39" s="10" t="s">
        <v>183</v>
      </c>
      <c r="I39" s="10" t="n">
        <v>-4.98</v>
      </c>
      <c r="J39" s="10" t="n">
        <v>3</v>
      </c>
      <c r="K39" s="10" t="n">
        <v>0</v>
      </c>
      <c r="L39" s="10"/>
      <c r="M39" s="10" t="s">
        <v>92</v>
      </c>
      <c r="N39" s="10" t="s">
        <v>184</v>
      </c>
      <c r="O39" s="10" t="s">
        <v>185</v>
      </c>
      <c r="P39" s="10" t="s">
        <v>186</v>
      </c>
      <c r="Q39" s="12" t="s">
        <v>187</v>
      </c>
      <c r="R39" s="12" t="s">
        <v>76</v>
      </c>
      <c r="S39" s="12" t="s">
        <v>188</v>
      </c>
      <c r="T39" s="10" t="s">
        <v>189</v>
      </c>
      <c r="U39" s="10" t="s">
        <v>79</v>
      </c>
      <c r="V39" s="10" t="n">
        <v>2</v>
      </c>
      <c r="W39" s="10" t="s">
        <v>80</v>
      </c>
      <c r="X39" s="10" t="s">
        <v>190</v>
      </c>
    </row>
    <row r="40" customFormat="false" ht="23.25" hidden="false" customHeight="true" outlineLevel="0" collapsed="false">
      <c r="A40" s="10" t="s">
        <v>202</v>
      </c>
      <c r="B40" s="14" t="s">
        <v>33</v>
      </c>
      <c r="C40" s="10" t="s">
        <v>179</v>
      </c>
      <c r="D40" s="10" t="s">
        <v>67</v>
      </c>
      <c r="E40" s="10" t="s">
        <v>180</v>
      </c>
      <c r="F40" s="10" t="s">
        <v>203</v>
      </c>
      <c r="G40" s="10" t="s">
        <v>182</v>
      </c>
      <c r="H40" s="10" t="s">
        <v>183</v>
      </c>
      <c r="I40" s="10" t="n">
        <v>-3.26</v>
      </c>
      <c r="J40" s="10" t="n">
        <v>4</v>
      </c>
      <c r="K40" s="10" t="n">
        <v>0</v>
      </c>
      <c r="L40" s="10"/>
      <c r="M40" s="10" t="s">
        <v>92</v>
      </c>
      <c r="N40" s="10" t="s">
        <v>184</v>
      </c>
      <c r="O40" s="10" t="s">
        <v>185</v>
      </c>
      <c r="P40" s="10" t="s">
        <v>186</v>
      </c>
      <c r="Q40" s="12" t="s">
        <v>187</v>
      </c>
      <c r="R40" s="12" t="s">
        <v>76</v>
      </c>
      <c r="S40" s="12" t="s">
        <v>188</v>
      </c>
      <c r="T40" s="10" t="s">
        <v>189</v>
      </c>
      <c r="U40" s="10" t="s">
        <v>79</v>
      </c>
      <c r="V40" s="10" t="n">
        <v>2</v>
      </c>
      <c r="W40" s="10" t="s">
        <v>80</v>
      </c>
      <c r="X40" s="10" t="s">
        <v>190</v>
      </c>
    </row>
    <row r="41" customFormat="false" ht="23.25" hidden="false" customHeight="true" outlineLevel="0" collapsed="false">
      <c r="A41" s="10" t="s">
        <v>204</v>
      </c>
      <c r="B41" s="14" t="s">
        <v>33</v>
      </c>
      <c r="C41" s="10" t="s">
        <v>179</v>
      </c>
      <c r="D41" s="10" t="s">
        <v>67</v>
      </c>
      <c r="E41" s="10" t="s">
        <v>180</v>
      </c>
      <c r="F41" s="10" t="s">
        <v>205</v>
      </c>
      <c r="G41" s="10" t="s">
        <v>182</v>
      </c>
      <c r="H41" s="10" t="s">
        <v>183</v>
      </c>
      <c r="I41" s="10" t="n">
        <v>5.58</v>
      </c>
      <c r="J41" s="10" t="n">
        <v>2</v>
      </c>
      <c r="K41" s="10" t="n">
        <v>0.05</v>
      </c>
      <c r="L41" s="10"/>
      <c r="M41" s="10" t="s">
        <v>92</v>
      </c>
      <c r="N41" s="10" t="s">
        <v>184</v>
      </c>
      <c r="O41" s="10" t="s">
        <v>185</v>
      </c>
      <c r="P41" s="10" t="s">
        <v>186</v>
      </c>
      <c r="Q41" s="12" t="s">
        <v>187</v>
      </c>
      <c r="R41" s="12" t="s">
        <v>76</v>
      </c>
      <c r="S41" s="12" t="s">
        <v>188</v>
      </c>
      <c r="T41" s="10" t="s">
        <v>189</v>
      </c>
      <c r="U41" s="10" t="s">
        <v>79</v>
      </c>
      <c r="V41" s="10" t="n">
        <v>2</v>
      </c>
      <c r="W41" s="10" t="s">
        <v>80</v>
      </c>
      <c r="X41" s="10" t="s">
        <v>190</v>
      </c>
    </row>
    <row r="42" customFormat="false" ht="23.25" hidden="false" customHeight="true" outlineLevel="0" collapsed="false">
      <c r="A42" s="10" t="s">
        <v>206</v>
      </c>
      <c r="B42" s="14" t="s">
        <v>33</v>
      </c>
      <c r="C42" s="10" t="s">
        <v>179</v>
      </c>
      <c r="D42" s="10" t="s">
        <v>67</v>
      </c>
      <c r="E42" s="10" t="s">
        <v>180</v>
      </c>
      <c r="F42" s="10" t="s">
        <v>207</v>
      </c>
      <c r="G42" s="10" t="s">
        <v>182</v>
      </c>
      <c r="H42" s="10" t="s">
        <v>193</v>
      </c>
      <c r="I42" s="10" t="n">
        <v>9.06</v>
      </c>
      <c r="J42" s="10" t="n">
        <v>5</v>
      </c>
      <c r="K42" s="10" t="n">
        <v>0.11</v>
      </c>
      <c r="L42" s="10"/>
      <c r="M42" s="10" t="s">
        <v>92</v>
      </c>
      <c r="N42" s="10" t="s">
        <v>184</v>
      </c>
      <c r="O42" s="10" t="s">
        <v>185</v>
      </c>
      <c r="P42" s="10" t="s">
        <v>186</v>
      </c>
      <c r="Q42" s="12" t="s">
        <v>187</v>
      </c>
      <c r="R42" s="12" t="s">
        <v>76</v>
      </c>
      <c r="S42" s="12" t="s">
        <v>188</v>
      </c>
      <c r="T42" s="10" t="s">
        <v>189</v>
      </c>
      <c r="U42" s="10" t="s">
        <v>79</v>
      </c>
      <c r="V42" s="10" t="n">
        <v>2</v>
      </c>
      <c r="W42" s="10" t="s">
        <v>80</v>
      </c>
      <c r="X42" s="10" t="s">
        <v>190</v>
      </c>
    </row>
    <row r="43" customFormat="false" ht="23.25" hidden="false" customHeight="true" outlineLevel="0" collapsed="false">
      <c r="A43" s="10" t="s">
        <v>208</v>
      </c>
      <c r="B43" s="14" t="s">
        <v>33</v>
      </c>
      <c r="C43" s="10" t="s">
        <v>179</v>
      </c>
      <c r="D43" s="10" t="s">
        <v>67</v>
      </c>
      <c r="E43" s="10" t="s">
        <v>180</v>
      </c>
      <c r="F43" s="10" t="s">
        <v>209</v>
      </c>
      <c r="G43" s="10" t="s">
        <v>182</v>
      </c>
      <c r="H43" s="10" t="s">
        <v>193</v>
      </c>
      <c r="I43" s="10" t="n">
        <v>-6.3</v>
      </c>
      <c r="J43" s="10" t="n">
        <v>4</v>
      </c>
      <c r="K43" s="10" t="n">
        <v>0</v>
      </c>
      <c r="L43" s="10"/>
      <c r="M43" s="10" t="s">
        <v>92</v>
      </c>
      <c r="N43" s="10" t="s">
        <v>184</v>
      </c>
      <c r="O43" s="10" t="s">
        <v>185</v>
      </c>
      <c r="P43" s="10" t="s">
        <v>186</v>
      </c>
      <c r="Q43" s="12" t="s">
        <v>187</v>
      </c>
      <c r="R43" s="12" t="s">
        <v>76</v>
      </c>
      <c r="S43" s="12" t="s">
        <v>188</v>
      </c>
      <c r="T43" s="10" t="s">
        <v>189</v>
      </c>
      <c r="U43" s="10" t="s">
        <v>79</v>
      </c>
      <c r="V43" s="10" t="n">
        <v>2</v>
      </c>
      <c r="W43" s="10" t="s">
        <v>80</v>
      </c>
      <c r="X43" s="10" t="s">
        <v>190</v>
      </c>
    </row>
    <row r="44" customFormat="false" ht="23.25" hidden="false" customHeight="true" outlineLevel="0" collapsed="false">
      <c r="A44" s="10" t="s">
        <v>210</v>
      </c>
      <c r="B44" s="14" t="s">
        <v>33</v>
      </c>
      <c r="C44" s="10" t="s">
        <v>179</v>
      </c>
      <c r="D44" s="10" t="s">
        <v>67</v>
      </c>
      <c r="E44" s="10" t="s">
        <v>180</v>
      </c>
      <c r="F44" s="10" t="s">
        <v>211</v>
      </c>
      <c r="G44" s="10" t="s">
        <v>182</v>
      </c>
      <c r="H44" s="10" t="s">
        <v>193</v>
      </c>
      <c r="I44" s="10" t="n">
        <v>-11.08</v>
      </c>
      <c r="J44" s="10" t="n">
        <v>5</v>
      </c>
      <c r="K44" s="10" t="n">
        <v>0</v>
      </c>
      <c r="L44" s="10"/>
      <c r="M44" s="10" t="s">
        <v>92</v>
      </c>
      <c r="N44" s="10" t="s">
        <v>184</v>
      </c>
      <c r="O44" s="10" t="s">
        <v>185</v>
      </c>
      <c r="P44" s="10" t="s">
        <v>186</v>
      </c>
      <c r="Q44" s="12" t="s">
        <v>187</v>
      </c>
      <c r="R44" s="12" t="s">
        <v>76</v>
      </c>
      <c r="S44" s="12" t="s">
        <v>188</v>
      </c>
      <c r="T44" s="10" t="s">
        <v>189</v>
      </c>
      <c r="U44" s="10" t="s">
        <v>79</v>
      </c>
      <c r="V44" s="10" t="n">
        <v>2</v>
      </c>
      <c r="W44" s="10" t="s">
        <v>80</v>
      </c>
      <c r="X44" s="10" t="s">
        <v>190</v>
      </c>
    </row>
    <row r="45" customFormat="false" ht="23.25" hidden="false" customHeight="true" outlineLevel="0" collapsed="false">
      <c r="A45" s="10" t="s">
        <v>212</v>
      </c>
      <c r="B45" s="14" t="s">
        <v>33</v>
      </c>
      <c r="C45" s="10" t="s">
        <v>179</v>
      </c>
      <c r="D45" s="10" t="s">
        <v>67</v>
      </c>
      <c r="E45" s="10" t="s">
        <v>180</v>
      </c>
      <c r="F45" s="10" t="s">
        <v>213</v>
      </c>
      <c r="G45" s="10" t="s">
        <v>182</v>
      </c>
      <c r="H45" s="10" t="s">
        <v>183</v>
      </c>
      <c r="I45" s="10" t="n">
        <v>4.22</v>
      </c>
      <c r="J45" s="10" t="n">
        <v>2</v>
      </c>
      <c r="K45" s="10" t="n">
        <v>0.02</v>
      </c>
      <c r="L45" s="10"/>
      <c r="M45" s="10" t="s">
        <v>92</v>
      </c>
      <c r="N45" s="10" t="s">
        <v>184</v>
      </c>
      <c r="O45" s="10" t="s">
        <v>185</v>
      </c>
      <c r="P45" s="10" t="s">
        <v>186</v>
      </c>
      <c r="Q45" s="12" t="s">
        <v>187</v>
      </c>
      <c r="R45" s="12" t="s">
        <v>76</v>
      </c>
      <c r="S45" s="12" t="s">
        <v>188</v>
      </c>
      <c r="T45" s="10" t="s">
        <v>189</v>
      </c>
      <c r="U45" s="10" t="s">
        <v>79</v>
      </c>
      <c r="V45" s="10" t="n">
        <v>2</v>
      </c>
      <c r="W45" s="10" t="s">
        <v>80</v>
      </c>
      <c r="X45" s="10" t="s">
        <v>190</v>
      </c>
    </row>
    <row r="46" customFormat="false" ht="23.25" hidden="false" customHeight="true" outlineLevel="0" collapsed="false">
      <c r="A46" s="10" t="s">
        <v>214</v>
      </c>
      <c r="B46" s="14" t="s">
        <v>33</v>
      </c>
      <c r="C46" s="10" t="s">
        <v>179</v>
      </c>
      <c r="D46" s="10" t="s">
        <v>67</v>
      </c>
      <c r="E46" s="10" t="s">
        <v>180</v>
      </c>
      <c r="F46" s="10" t="s">
        <v>215</v>
      </c>
      <c r="G46" s="10" t="s">
        <v>182</v>
      </c>
      <c r="H46" s="10" t="s">
        <v>183</v>
      </c>
      <c r="I46" s="10" t="n">
        <v>-13.17</v>
      </c>
      <c r="J46" s="10" t="n">
        <v>4</v>
      </c>
      <c r="K46" s="10" t="n">
        <v>0</v>
      </c>
      <c r="L46" s="10"/>
      <c r="M46" s="10" t="s">
        <v>92</v>
      </c>
      <c r="N46" s="10" t="s">
        <v>184</v>
      </c>
      <c r="O46" s="10" t="s">
        <v>185</v>
      </c>
      <c r="P46" s="10" t="s">
        <v>186</v>
      </c>
      <c r="Q46" s="12" t="s">
        <v>187</v>
      </c>
      <c r="R46" s="12" t="s">
        <v>76</v>
      </c>
      <c r="S46" s="12" t="s">
        <v>188</v>
      </c>
      <c r="T46" s="10" t="s">
        <v>189</v>
      </c>
      <c r="U46" s="10" t="s">
        <v>79</v>
      </c>
      <c r="V46" s="10" t="n">
        <v>2</v>
      </c>
      <c r="W46" s="10" t="s">
        <v>80</v>
      </c>
      <c r="X46" s="10" t="s">
        <v>190</v>
      </c>
    </row>
    <row r="47" customFormat="false" ht="23.25" hidden="false" customHeight="true" outlineLevel="0" collapsed="false">
      <c r="A47" s="10" t="s">
        <v>216</v>
      </c>
      <c r="B47" s="14" t="s">
        <v>33</v>
      </c>
      <c r="C47" s="10" t="s">
        <v>179</v>
      </c>
      <c r="D47" s="10" t="s">
        <v>67</v>
      </c>
      <c r="E47" s="10" t="s">
        <v>180</v>
      </c>
      <c r="F47" s="10" t="s">
        <v>217</v>
      </c>
      <c r="G47" s="10" t="s">
        <v>182</v>
      </c>
      <c r="H47" s="10" t="s">
        <v>193</v>
      </c>
      <c r="I47" s="10" t="n">
        <v>-8.7</v>
      </c>
      <c r="J47" s="10" t="n">
        <v>2</v>
      </c>
      <c r="K47" s="10" t="n">
        <v>0</v>
      </c>
      <c r="L47" s="10"/>
      <c r="M47" s="10" t="s">
        <v>92</v>
      </c>
      <c r="N47" s="10" t="s">
        <v>184</v>
      </c>
      <c r="O47" s="10" t="s">
        <v>185</v>
      </c>
      <c r="P47" s="10" t="s">
        <v>186</v>
      </c>
      <c r="Q47" s="12" t="s">
        <v>187</v>
      </c>
      <c r="R47" s="12" t="s">
        <v>76</v>
      </c>
      <c r="S47" s="12" t="s">
        <v>188</v>
      </c>
      <c r="T47" s="10" t="s">
        <v>189</v>
      </c>
      <c r="U47" s="10" t="s">
        <v>79</v>
      </c>
      <c r="V47" s="10" t="n">
        <v>2</v>
      </c>
      <c r="W47" s="10" t="s">
        <v>80</v>
      </c>
      <c r="X47" s="10" t="s">
        <v>190</v>
      </c>
    </row>
    <row r="48" customFormat="false" ht="23.25" hidden="false" customHeight="true" outlineLevel="0" collapsed="false">
      <c r="A48" s="10" t="s">
        <v>218</v>
      </c>
      <c r="B48" s="14" t="s">
        <v>33</v>
      </c>
      <c r="C48" s="10" t="s">
        <v>179</v>
      </c>
      <c r="D48" s="10" t="s">
        <v>67</v>
      </c>
      <c r="E48" s="10" t="s">
        <v>180</v>
      </c>
      <c r="F48" s="10" t="s">
        <v>219</v>
      </c>
      <c r="G48" s="10" t="s">
        <v>182</v>
      </c>
      <c r="H48" s="10" t="s">
        <v>183</v>
      </c>
      <c r="I48" s="10" t="n">
        <v>-1.45</v>
      </c>
      <c r="J48" s="10" t="n">
        <v>1</v>
      </c>
      <c r="K48" s="10" t="n">
        <v>0</v>
      </c>
      <c r="L48" s="10"/>
      <c r="M48" s="10" t="s">
        <v>92</v>
      </c>
      <c r="N48" s="10" t="s">
        <v>184</v>
      </c>
      <c r="O48" s="10" t="s">
        <v>185</v>
      </c>
      <c r="P48" s="10" t="s">
        <v>186</v>
      </c>
      <c r="Q48" s="12" t="s">
        <v>187</v>
      </c>
      <c r="R48" s="12" t="s">
        <v>76</v>
      </c>
      <c r="S48" s="12" t="s">
        <v>188</v>
      </c>
      <c r="T48" s="10" t="s">
        <v>189</v>
      </c>
      <c r="U48" s="10" t="s">
        <v>79</v>
      </c>
      <c r="V48" s="10" t="n">
        <v>2</v>
      </c>
      <c r="W48" s="10" t="s">
        <v>80</v>
      </c>
      <c r="X48" s="10" t="s">
        <v>190</v>
      </c>
    </row>
    <row r="49" customFormat="false" ht="23.25" hidden="false" customHeight="true" outlineLevel="0" collapsed="false">
      <c r="A49" s="10" t="s">
        <v>220</v>
      </c>
      <c r="B49" s="14" t="s">
        <v>33</v>
      </c>
      <c r="C49" s="10" t="s">
        <v>179</v>
      </c>
      <c r="D49" s="10" t="s">
        <v>67</v>
      </c>
      <c r="E49" s="10" t="s">
        <v>180</v>
      </c>
      <c r="F49" s="10" t="s">
        <v>221</v>
      </c>
      <c r="G49" s="10" t="s">
        <v>182</v>
      </c>
      <c r="H49" s="10" t="s">
        <v>193</v>
      </c>
      <c r="I49" s="10" t="n">
        <v>-0.65</v>
      </c>
      <c r="J49" s="10" t="n">
        <v>4</v>
      </c>
      <c r="K49" s="10" t="n">
        <v>0</v>
      </c>
      <c r="L49" s="10"/>
      <c r="M49" s="10" t="s">
        <v>92</v>
      </c>
      <c r="N49" s="10" t="s">
        <v>184</v>
      </c>
      <c r="O49" s="10" t="s">
        <v>185</v>
      </c>
      <c r="P49" s="10" t="s">
        <v>186</v>
      </c>
      <c r="Q49" s="12" t="s">
        <v>187</v>
      </c>
      <c r="R49" s="12" t="s">
        <v>76</v>
      </c>
      <c r="S49" s="12" t="s">
        <v>188</v>
      </c>
      <c r="T49" s="10" t="s">
        <v>189</v>
      </c>
      <c r="U49" s="10" t="s">
        <v>79</v>
      </c>
      <c r="V49" s="10" t="n">
        <v>2</v>
      </c>
      <c r="W49" s="10" t="s">
        <v>80</v>
      </c>
      <c r="X49" s="10" t="s">
        <v>190</v>
      </c>
    </row>
    <row r="50" customFormat="false" ht="23.25" hidden="false" customHeight="true" outlineLevel="0" collapsed="false">
      <c r="A50" s="10" t="s">
        <v>222</v>
      </c>
      <c r="B50" s="14" t="s">
        <v>33</v>
      </c>
      <c r="C50" s="10" t="s">
        <v>179</v>
      </c>
      <c r="D50" s="10" t="s">
        <v>67</v>
      </c>
      <c r="E50" s="10" t="s">
        <v>223</v>
      </c>
      <c r="F50" s="10" t="s">
        <v>224</v>
      </c>
      <c r="G50" s="10" t="s">
        <v>182</v>
      </c>
      <c r="H50" s="10" t="s">
        <v>225</v>
      </c>
      <c r="I50" s="10" t="n">
        <v>-0.13</v>
      </c>
      <c r="J50" s="10" t="n">
        <v>4</v>
      </c>
      <c r="K50" s="10" t="n">
        <v>0.14</v>
      </c>
      <c r="L50" s="10"/>
      <c r="M50" s="10" t="s">
        <v>92</v>
      </c>
      <c r="N50" s="10" t="s">
        <v>226</v>
      </c>
      <c r="O50" s="10" t="s">
        <v>227</v>
      </c>
      <c r="P50" s="10" t="s">
        <v>225</v>
      </c>
      <c r="Q50" s="12" t="s">
        <v>187</v>
      </c>
      <c r="R50" s="12" t="s">
        <v>76</v>
      </c>
      <c r="S50" s="12" t="s">
        <v>188</v>
      </c>
      <c r="T50" s="10" t="s">
        <v>189</v>
      </c>
      <c r="U50" s="10" t="s">
        <v>79</v>
      </c>
      <c r="V50" s="10" t="n">
        <v>2</v>
      </c>
      <c r="W50" s="10" t="s">
        <v>80</v>
      </c>
      <c r="X50" s="10" t="s">
        <v>190</v>
      </c>
    </row>
    <row r="51" customFormat="false" ht="23.25" hidden="false" customHeight="true" outlineLevel="0" collapsed="false">
      <c r="A51" s="10" t="s">
        <v>228</v>
      </c>
      <c r="B51" s="14" t="s">
        <v>33</v>
      </c>
      <c r="C51" s="10" t="s">
        <v>179</v>
      </c>
      <c r="D51" s="10" t="s">
        <v>67</v>
      </c>
      <c r="E51" s="10" t="s">
        <v>223</v>
      </c>
      <c r="F51" s="10" t="s">
        <v>229</v>
      </c>
      <c r="G51" s="10" t="s">
        <v>182</v>
      </c>
      <c r="H51" s="10" t="s">
        <v>230</v>
      </c>
      <c r="I51" s="10" t="n">
        <v>2.54</v>
      </c>
      <c r="J51" s="10" t="n">
        <v>5</v>
      </c>
      <c r="K51" s="10" t="n">
        <v>0.01</v>
      </c>
      <c r="L51" s="10"/>
      <c r="M51" s="10" t="s">
        <v>92</v>
      </c>
      <c r="N51" s="10" t="s">
        <v>226</v>
      </c>
      <c r="O51" s="10" t="s">
        <v>227</v>
      </c>
      <c r="P51" s="10" t="s">
        <v>225</v>
      </c>
      <c r="Q51" s="12" t="s">
        <v>187</v>
      </c>
      <c r="R51" s="12" t="s">
        <v>76</v>
      </c>
      <c r="S51" s="12" t="s">
        <v>188</v>
      </c>
      <c r="T51" s="10" t="s">
        <v>189</v>
      </c>
      <c r="U51" s="10" t="s">
        <v>79</v>
      </c>
      <c r="V51" s="10" t="n">
        <v>2</v>
      </c>
      <c r="W51" s="10" t="s">
        <v>80</v>
      </c>
      <c r="X51" s="10" t="s">
        <v>190</v>
      </c>
    </row>
    <row r="52" customFormat="false" ht="23.25" hidden="false" customHeight="true" outlineLevel="0" collapsed="false">
      <c r="A52" s="10" t="s">
        <v>231</v>
      </c>
      <c r="B52" s="14" t="s">
        <v>33</v>
      </c>
      <c r="C52" s="10" t="s">
        <v>179</v>
      </c>
      <c r="D52" s="10" t="s">
        <v>67</v>
      </c>
      <c r="E52" s="10" t="s">
        <v>223</v>
      </c>
      <c r="F52" s="10" t="s">
        <v>232</v>
      </c>
      <c r="G52" s="10" t="s">
        <v>182</v>
      </c>
      <c r="H52" s="10" t="s">
        <v>225</v>
      </c>
      <c r="I52" s="10" t="n">
        <v>-10.54</v>
      </c>
      <c r="J52" s="10" t="n">
        <v>4</v>
      </c>
      <c r="K52" s="10" t="n">
        <v>0</v>
      </c>
      <c r="L52" s="10"/>
      <c r="M52" s="10" t="s">
        <v>92</v>
      </c>
      <c r="N52" s="10" t="s">
        <v>226</v>
      </c>
      <c r="O52" s="10" t="s">
        <v>227</v>
      </c>
      <c r="P52" s="10" t="s">
        <v>225</v>
      </c>
      <c r="Q52" s="12" t="s">
        <v>187</v>
      </c>
      <c r="R52" s="12" t="s">
        <v>76</v>
      </c>
      <c r="S52" s="12" t="s">
        <v>188</v>
      </c>
      <c r="T52" s="10" t="s">
        <v>189</v>
      </c>
      <c r="U52" s="10" t="s">
        <v>79</v>
      </c>
      <c r="V52" s="10" t="n">
        <v>2</v>
      </c>
      <c r="W52" s="10" t="s">
        <v>80</v>
      </c>
      <c r="X52" s="10" t="s">
        <v>190</v>
      </c>
    </row>
    <row r="53" customFormat="false" ht="23.25" hidden="false" customHeight="true" outlineLevel="0" collapsed="false">
      <c r="A53" s="10" t="s">
        <v>233</v>
      </c>
      <c r="B53" s="14" t="s">
        <v>33</v>
      </c>
      <c r="C53" s="10" t="s">
        <v>179</v>
      </c>
      <c r="D53" s="10" t="s">
        <v>67</v>
      </c>
      <c r="E53" s="10" t="s">
        <v>223</v>
      </c>
      <c r="F53" s="10" t="s">
        <v>234</v>
      </c>
      <c r="G53" s="10" t="s">
        <v>182</v>
      </c>
      <c r="H53" s="10" t="s">
        <v>230</v>
      </c>
      <c r="I53" s="10" t="n">
        <v>10.97</v>
      </c>
      <c r="J53" s="10" t="n">
        <v>6</v>
      </c>
      <c r="K53" s="10" t="n">
        <v>0.19</v>
      </c>
      <c r="L53" s="10"/>
      <c r="M53" s="10" t="s">
        <v>92</v>
      </c>
      <c r="N53" s="10" t="s">
        <v>226</v>
      </c>
      <c r="O53" s="10" t="s">
        <v>227</v>
      </c>
      <c r="P53" s="10" t="s">
        <v>225</v>
      </c>
      <c r="Q53" s="12" t="s">
        <v>187</v>
      </c>
      <c r="R53" s="12" t="s">
        <v>76</v>
      </c>
      <c r="S53" s="12" t="s">
        <v>188</v>
      </c>
      <c r="T53" s="10" t="s">
        <v>189</v>
      </c>
      <c r="U53" s="10" t="s">
        <v>79</v>
      </c>
      <c r="V53" s="10" t="n">
        <v>2</v>
      </c>
      <c r="W53" s="10" t="s">
        <v>80</v>
      </c>
      <c r="X53" s="10" t="s">
        <v>190</v>
      </c>
    </row>
    <row r="54" customFormat="false" ht="23.25" hidden="false" customHeight="true" outlineLevel="0" collapsed="false">
      <c r="A54" s="10" t="s">
        <v>235</v>
      </c>
      <c r="B54" s="14" t="s">
        <v>33</v>
      </c>
      <c r="C54" s="10" t="s">
        <v>179</v>
      </c>
      <c r="D54" s="10" t="s">
        <v>67</v>
      </c>
      <c r="E54" s="10" t="s">
        <v>223</v>
      </c>
      <c r="F54" s="10" t="s">
        <v>236</v>
      </c>
      <c r="G54" s="10" t="s">
        <v>182</v>
      </c>
      <c r="H54" s="10" t="s">
        <v>225</v>
      </c>
      <c r="I54" s="10" t="n">
        <v>5.62</v>
      </c>
      <c r="J54" s="10" t="n">
        <v>9</v>
      </c>
      <c r="K54" s="10" t="n">
        <v>0.19</v>
      </c>
      <c r="L54" s="10"/>
      <c r="M54" s="10" t="s">
        <v>92</v>
      </c>
      <c r="N54" s="10" t="s">
        <v>226</v>
      </c>
      <c r="O54" s="10" t="s">
        <v>227</v>
      </c>
      <c r="P54" s="10" t="s">
        <v>225</v>
      </c>
      <c r="Q54" s="12" t="s">
        <v>187</v>
      </c>
      <c r="R54" s="12" t="s">
        <v>76</v>
      </c>
      <c r="S54" s="12" t="s">
        <v>188</v>
      </c>
      <c r="T54" s="10" t="s">
        <v>189</v>
      </c>
      <c r="U54" s="10" t="s">
        <v>79</v>
      </c>
      <c r="V54" s="10" t="n">
        <v>2</v>
      </c>
      <c r="W54" s="10" t="s">
        <v>80</v>
      </c>
      <c r="X54" s="10" t="s">
        <v>190</v>
      </c>
    </row>
    <row r="55" customFormat="false" ht="23.25" hidden="false" customHeight="true" outlineLevel="0" collapsed="false">
      <c r="A55" s="10" t="s">
        <v>237</v>
      </c>
      <c r="B55" s="14" t="s">
        <v>33</v>
      </c>
      <c r="C55" s="10" t="s">
        <v>179</v>
      </c>
      <c r="D55" s="10" t="s">
        <v>67</v>
      </c>
      <c r="E55" s="10" t="s">
        <v>223</v>
      </c>
      <c r="F55" s="10" t="s">
        <v>238</v>
      </c>
      <c r="G55" s="10" t="s">
        <v>182</v>
      </c>
      <c r="H55" s="10" t="s">
        <v>225</v>
      </c>
      <c r="I55" s="10" t="n">
        <v>4.76</v>
      </c>
      <c r="J55" s="10" t="n">
        <v>2</v>
      </c>
      <c r="K55" s="10" t="n">
        <v>0.12</v>
      </c>
      <c r="L55" s="10"/>
      <c r="M55" s="10" t="s">
        <v>92</v>
      </c>
      <c r="N55" s="10" t="s">
        <v>226</v>
      </c>
      <c r="O55" s="10" t="s">
        <v>227</v>
      </c>
      <c r="P55" s="10" t="s">
        <v>225</v>
      </c>
      <c r="Q55" s="12" t="s">
        <v>187</v>
      </c>
      <c r="R55" s="12" t="s">
        <v>76</v>
      </c>
      <c r="S55" s="12" t="s">
        <v>188</v>
      </c>
      <c r="T55" s="10" t="s">
        <v>189</v>
      </c>
      <c r="U55" s="10" t="s">
        <v>79</v>
      </c>
      <c r="V55" s="10" t="n">
        <v>2</v>
      </c>
      <c r="W55" s="10" t="s">
        <v>80</v>
      </c>
      <c r="X55" s="10" t="s">
        <v>190</v>
      </c>
    </row>
    <row r="56" customFormat="false" ht="23.25" hidden="false" customHeight="true" outlineLevel="0" collapsed="false">
      <c r="A56" s="10" t="s">
        <v>239</v>
      </c>
      <c r="B56" s="14" t="s">
        <v>33</v>
      </c>
      <c r="C56" s="10" t="s">
        <v>179</v>
      </c>
      <c r="D56" s="10" t="s">
        <v>67</v>
      </c>
      <c r="E56" s="10" t="s">
        <v>223</v>
      </c>
      <c r="F56" s="10" t="s">
        <v>240</v>
      </c>
      <c r="G56" s="10" t="s">
        <v>182</v>
      </c>
      <c r="H56" s="10" t="s">
        <v>230</v>
      </c>
      <c r="I56" s="10" t="n">
        <v>7.55</v>
      </c>
      <c r="J56" s="10" t="n">
        <v>2</v>
      </c>
      <c r="K56" s="10" t="n">
        <v>0.03</v>
      </c>
      <c r="L56" s="10"/>
      <c r="M56" s="10" t="s">
        <v>92</v>
      </c>
      <c r="N56" s="10" t="s">
        <v>226</v>
      </c>
      <c r="O56" s="10" t="s">
        <v>227</v>
      </c>
      <c r="P56" s="10" t="s">
        <v>225</v>
      </c>
      <c r="Q56" s="12" t="s">
        <v>187</v>
      </c>
      <c r="R56" s="12" t="s">
        <v>76</v>
      </c>
      <c r="S56" s="12" t="s">
        <v>188</v>
      </c>
      <c r="T56" s="10" t="s">
        <v>189</v>
      </c>
      <c r="U56" s="10" t="s">
        <v>79</v>
      </c>
      <c r="V56" s="10" t="n">
        <v>2</v>
      </c>
      <c r="W56" s="10" t="s">
        <v>80</v>
      </c>
      <c r="X56" s="10" t="s">
        <v>190</v>
      </c>
    </row>
    <row r="57" customFormat="false" ht="23.25" hidden="false" customHeight="true" outlineLevel="0" collapsed="false">
      <c r="A57" s="10" t="s">
        <v>241</v>
      </c>
      <c r="B57" s="14" t="s">
        <v>33</v>
      </c>
      <c r="C57" s="10" t="s">
        <v>179</v>
      </c>
      <c r="D57" s="10" t="s">
        <v>67</v>
      </c>
      <c r="E57" s="10" t="s">
        <v>223</v>
      </c>
      <c r="F57" s="10" t="s">
        <v>242</v>
      </c>
      <c r="G57" s="10" t="s">
        <v>182</v>
      </c>
      <c r="H57" s="10" t="s">
        <v>230</v>
      </c>
      <c r="I57" s="10" t="n">
        <v>-0.7</v>
      </c>
      <c r="J57" s="10" t="n">
        <v>1</v>
      </c>
      <c r="K57" s="10" t="n">
        <v>0</v>
      </c>
      <c r="L57" s="10"/>
      <c r="M57" s="10" t="s">
        <v>92</v>
      </c>
      <c r="N57" s="10" t="s">
        <v>226</v>
      </c>
      <c r="O57" s="10" t="s">
        <v>227</v>
      </c>
      <c r="P57" s="10" t="s">
        <v>225</v>
      </c>
      <c r="Q57" s="12" t="s">
        <v>187</v>
      </c>
      <c r="R57" s="12" t="s">
        <v>76</v>
      </c>
      <c r="S57" s="12" t="s">
        <v>188</v>
      </c>
      <c r="T57" s="10" t="s">
        <v>189</v>
      </c>
      <c r="U57" s="10" t="s">
        <v>79</v>
      </c>
      <c r="V57" s="10" t="n">
        <v>2</v>
      </c>
      <c r="W57" s="10" t="s">
        <v>80</v>
      </c>
      <c r="X57" s="10" t="s">
        <v>190</v>
      </c>
    </row>
    <row r="58" customFormat="false" ht="23.25" hidden="false" customHeight="true" outlineLevel="0" collapsed="false">
      <c r="A58" s="10" t="s">
        <v>243</v>
      </c>
      <c r="B58" s="14" t="s">
        <v>33</v>
      </c>
      <c r="C58" s="10" t="s">
        <v>179</v>
      </c>
      <c r="D58" s="10" t="s">
        <v>67</v>
      </c>
      <c r="E58" s="10" t="s">
        <v>223</v>
      </c>
      <c r="F58" s="10" t="s">
        <v>244</v>
      </c>
      <c r="G58" s="10" t="s">
        <v>182</v>
      </c>
      <c r="H58" s="10" t="s">
        <v>230</v>
      </c>
      <c r="I58" s="10" t="n">
        <v>-7.44</v>
      </c>
      <c r="J58" s="10" t="n">
        <v>2</v>
      </c>
      <c r="K58" s="10" t="n">
        <v>0</v>
      </c>
      <c r="L58" s="10"/>
      <c r="M58" s="10" t="s">
        <v>92</v>
      </c>
      <c r="N58" s="10" t="s">
        <v>226</v>
      </c>
      <c r="O58" s="10" t="s">
        <v>227</v>
      </c>
      <c r="P58" s="10" t="s">
        <v>225</v>
      </c>
      <c r="Q58" s="12" t="s">
        <v>187</v>
      </c>
      <c r="R58" s="12" t="s">
        <v>76</v>
      </c>
      <c r="S58" s="12" t="s">
        <v>188</v>
      </c>
      <c r="T58" s="10" t="s">
        <v>189</v>
      </c>
      <c r="U58" s="10" t="s">
        <v>79</v>
      </c>
      <c r="V58" s="10" t="n">
        <v>2</v>
      </c>
      <c r="W58" s="10" t="s">
        <v>80</v>
      </c>
      <c r="X58" s="10" t="s">
        <v>190</v>
      </c>
    </row>
    <row r="59" customFormat="false" ht="23.25" hidden="false" customHeight="true" outlineLevel="0" collapsed="false">
      <c r="A59" s="10" t="s">
        <v>245</v>
      </c>
      <c r="B59" s="14" t="s">
        <v>33</v>
      </c>
      <c r="C59" s="10" t="s">
        <v>179</v>
      </c>
      <c r="D59" s="10" t="s">
        <v>67</v>
      </c>
      <c r="E59" s="10" t="s">
        <v>223</v>
      </c>
      <c r="F59" s="10" t="s">
        <v>246</v>
      </c>
      <c r="G59" s="10" t="s">
        <v>182</v>
      </c>
      <c r="H59" s="10" t="s">
        <v>225</v>
      </c>
      <c r="I59" s="10" t="n">
        <v>-6.9</v>
      </c>
      <c r="J59" s="10" t="n">
        <v>8</v>
      </c>
      <c r="K59" s="10" t="n">
        <v>0</v>
      </c>
      <c r="L59" s="10"/>
      <c r="M59" s="10" t="s">
        <v>92</v>
      </c>
      <c r="N59" s="10" t="s">
        <v>226</v>
      </c>
      <c r="O59" s="10" t="s">
        <v>227</v>
      </c>
      <c r="P59" s="10" t="s">
        <v>225</v>
      </c>
      <c r="Q59" s="12" t="s">
        <v>187</v>
      </c>
      <c r="R59" s="12" t="s">
        <v>76</v>
      </c>
      <c r="S59" s="12" t="s">
        <v>188</v>
      </c>
      <c r="T59" s="10" t="s">
        <v>189</v>
      </c>
      <c r="U59" s="10" t="s">
        <v>79</v>
      </c>
      <c r="V59" s="10" t="n">
        <v>2</v>
      </c>
      <c r="W59" s="10" t="s">
        <v>80</v>
      </c>
      <c r="X59" s="10" t="s">
        <v>190</v>
      </c>
    </row>
    <row r="60" customFormat="false" ht="23.25" hidden="false" customHeight="true" outlineLevel="0" collapsed="false">
      <c r="A60" s="10" t="s">
        <v>247</v>
      </c>
      <c r="B60" s="14" t="s">
        <v>33</v>
      </c>
      <c r="C60" s="10" t="s">
        <v>179</v>
      </c>
      <c r="D60" s="10" t="s">
        <v>67</v>
      </c>
      <c r="E60" s="10" t="s">
        <v>223</v>
      </c>
      <c r="F60" s="10" t="s">
        <v>248</v>
      </c>
      <c r="G60" s="10" t="s">
        <v>182</v>
      </c>
      <c r="H60" s="10" t="s">
        <v>225</v>
      </c>
      <c r="I60" s="10" t="n">
        <v>-3.76</v>
      </c>
      <c r="J60" s="10" t="n">
        <v>7</v>
      </c>
      <c r="K60" s="10" t="n">
        <v>0</v>
      </c>
      <c r="L60" s="10"/>
      <c r="M60" s="10" t="s">
        <v>92</v>
      </c>
      <c r="N60" s="10" t="s">
        <v>226</v>
      </c>
      <c r="O60" s="10" t="s">
        <v>227</v>
      </c>
      <c r="P60" s="10" t="s">
        <v>225</v>
      </c>
      <c r="Q60" s="12" t="s">
        <v>187</v>
      </c>
      <c r="R60" s="12" t="s">
        <v>76</v>
      </c>
      <c r="S60" s="12" t="s">
        <v>188</v>
      </c>
      <c r="T60" s="10" t="s">
        <v>189</v>
      </c>
      <c r="U60" s="10" t="s">
        <v>79</v>
      </c>
      <c r="V60" s="10" t="n">
        <v>2</v>
      </c>
      <c r="W60" s="10" t="s">
        <v>80</v>
      </c>
      <c r="X60" s="10" t="s">
        <v>190</v>
      </c>
    </row>
    <row r="61" customFormat="false" ht="34.5" hidden="false" customHeight="true" outlineLevel="0" collapsed="false">
      <c r="A61" s="10" t="s">
        <v>249</v>
      </c>
      <c r="B61" s="15" t="s">
        <v>35</v>
      </c>
      <c r="C61" s="10" t="s">
        <v>250</v>
      </c>
      <c r="D61" s="10" t="s">
        <v>251</v>
      </c>
      <c r="E61" s="10" t="s">
        <v>252</v>
      </c>
      <c r="F61" s="10" t="s">
        <v>253</v>
      </c>
      <c r="G61" s="10" t="s">
        <v>70</v>
      </c>
      <c r="H61" s="10" t="s">
        <v>103</v>
      </c>
      <c r="I61" s="10" t="n">
        <v>-5.39</v>
      </c>
      <c r="J61" s="10" t="n">
        <v>32</v>
      </c>
      <c r="K61" s="10" t="n">
        <v>0</v>
      </c>
      <c r="L61" s="10"/>
      <c r="M61" s="10" t="s">
        <v>92</v>
      </c>
      <c r="N61" s="10" t="s">
        <v>93</v>
      </c>
      <c r="O61" s="10" t="s">
        <v>94</v>
      </c>
      <c r="P61" s="10" t="s">
        <v>142</v>
      </c>
      <c r="Q61" s="12" t="s">
        <v>254</v>
      </c>
      <c r="R61" s="12" t="s">
        <v>255</v>
      </c>
      <c r="S61" s="12" t="s">
        <v>256</v>
      </c>
      <c r="T61" s="10" t="s">
        <v>99</v>
      </c>
      <c r="U61" s="10" t="s">
        <v>79</v>
      </c>
      <c r="V61" s="10" t="n">
        <v>4</v>
      </c>
      <c r="W61" s="10" t="s">
        <v>257</v>
      </c>
      <c r="X61" s="10" t="s">
        <v>81</v>
      </c>
    </row>
    <row r="62" customFormat="false" ht="34.5" hidden="false" customHeight="true" outlineLevel="0" collapsed="false">
      <c r="A62" s="10" t="s">
        <v>258</v>
      </c>
      <c r="B62" s="15" t="s">
        <v>35</v>
      </c>
      <c r="C62" s="10" t="s">
        <v>250</v>
      </c>
      <c r="D62" s="10" t="s">
        <v>251</v>
      </c>
      <c r="E62" s="10" t="s">
        <v>252</v>
      </c>
      <c r="F62" s="10" t="s">
        <v>259</v>
      </c>
      <c r="G62" s="10" t="s">
        <v>70</v>
      </c>
      <c r="H62" s="10" t="s">
        <v>103</v>
      </c>
      <c r="I62" s="10" t="n">
        <v>0.12</v>
      </c>
      <c r="J62" s="10" t="n">
        <v>24</v>
      </c>
      <c r="K62" s="10" t="n">
        <v>0.01</v>
      </c>
      <c r="L62" s="10"/>
      <c r="M62" s="10" t="s">
        <v>92</v>
      </c>
      <c r="N62" s="10" t="s">
        <v>93</v>
      </c>
      <c r="O62" s="10" t="s">
        <v>94</v>
      </c>
      <c r="P62" s="10" t="s">
        <v>142</v>
      </c>
      <c r="Q62" s="12" t="s">
        <v>254</v>
      </c>
      <c r="R62" s="12" t="s">
        <v>260</v>
      </c>
      <c r="S62" s="12" t="s">
        <v>256</v>
      </c>
      <c r="T62" s="10" t="s">
        <v>261</v>
      </c>
      <c r="U62" s="10" t="s">
        <v>79</v>
      </c>
      <c r="V62" s="10" t="n">
        <v>4</v>
      </c>
      <c r="W62" s="10" t="s">
        <v>257</v>
      </c>
      <c r="X62" s="10" t="s">
        <v>81</v>
      </c>
    </row>
    <row r="63" customFormat="false" ht="34.5" hidden="false" customHeight="true" outlineLevel="0" collapsed="false">
      <c r="A63" s="10" t="s">
        <v>262</v>
      </c>
      <c r="B63" s="15" t="s">
        <v>35</v>
      </c>
      <c r="C63" s="10" t="s">
        <v>250</v>
      </c>
      <c r="D63" s="10" t="s">
        <v>251</v>
      </c>
      <c r="E63" s="10" t="s">
        <v>252</v>
      </c>
      <c r="F63" s="10" t="s">
        <v>263</v>
      </c>
      <c r="G63" s="10" t="s">
        <v>70</v>
      </c>
      <c r="H63" s="10" t="s">
        <v>103</v>
      </c>
      <c r="I63" s="10" t="n">
        <v>-1.04</v>
      </c>
      <c r="J63" s="10" t="n">
        <v>28</v>
      </c>
      <c r="K63" s="10" t="n">
        <v>0</v>
      </c>
      <c r="L63" s="10"/>
      <c r="M63" s="10" t="s">
        <v>92</v>
      </c>
      <c r="N63" s="10" t="s">
        <v>93</v>
      </c>
      <c r="O63" s="10" t="s">
        <v>94</v>
      </c>
      <c r="P63" s="10" t="s">
        <v>142</v>
      </c>
      <c r="Q63" s="12" t="s">
        <v>254</v>
      </c>
      <c r="R63" s="12" t="s">
        <v>255</v>
      </c>
      <c r="S63" s="12" t="s">
        <v>256</v>
      </c>
      <c r="T63" s="10" t="s">
        <v>264</v>
      </c>
      <c r="U63" s="10" t="s">
        <v>79</v>
      </c>
      <c r="V63" s="10" t="n">
        <v>4</v>
      </c>
      <c r="W63" s="10" t="s">
        <v>257</v>
      </c>
      <c r="X63" s="10" t="s">
        <v>81</v>
      </c>
    </row>
    <row r="64" customFormat="false" ht="34.5" hidden="false" customHeight="true" outlineLevel="0" collapsed="false">
      <c r="A64" s="10" t="s">
        <v>265</v>
      </c>
      <c r="B64" s="15" t="s">
        <v>35</v>
      </c>
      <c r="C64" s="10" t="s">
        <v>250</v>
      </c>
      <c r="D64" s="10" t="s">
        <v>251</v>
      </c>
      <c r="E64" s="10" t="s">
        <v>252</v>
      </c>
      <c r="F64" s="10" t="s">
        <v>266</v>
      </c>
      <c r="G64" s="10" t="s">
        <v>70</v>
      </c>
      <c r="H64" s="10" t="s">
        <v>103</v>
      </c>
      <c r="I64" s="10" t="n">
        <v>-0.94</v>
      </c>
      <c r="J64" s="10" t="n">
        <v>29</v>
      </c>
      <c r="K64" s="10" t="n">
        <v>0</v>
      </c>
      <c r="L64" s="10"/>
      <c r="M64" s="10" t="s">
        <v>92</v>
      </c>
      <c r="N64" s="10" t="s">
        <v>93</v>
      </c>
      <c r="O64" s="10" t="s">
        <v>94</v>
      </c>
      <c r="P64" s="10" t="s">
        <v>142</v>
      </c>
      <c r="Q64" s="12" t="s">
        <v>254</v>
      </c>
      <c r="R64" s="12" t="s">
        <v>255</v>
      </c>
      <c r="S64" s="12" t="s">
        <v>256</v>
      </c>
      <c r="T64" s="10" t="s">
        <v>267</v>
      </c>
      <c r="U64" s="10" t="s">
        <v>79</v>
      </c>
      <c r="V64" s="10" t="n">
        <v>4</v>
      </c>
      <c r="W64" s="10" t="s">
        <v>257</v>
      </c>
      <c r="X64" s="10" t="s">
        <v>81</v>
      </c>
    </row>
    <row r="65" customFormat="false" ht="34.5" hidden="false" customHeight="true" outlineLevel="0" collapsed="false">
      <c r="A65" s="10" t="s">
        <v>268</v>
      </c>
      <c r="B65" s="15" t="s">
        <v>35</v>
      </c>
      <c r="C65" s="10" t="s">
        <v>250</v>
      </c>
      <c r="D65" s="10" t="s">
        <v>251</v>
      </c>
      <c r="E65" s="10" t="s">
        <v>252</v>
      </c>
      <c r="F65" s="10" t="s">
        <v>269</v>
      </c>
      <c r="G65" s="10" t="s">
        <v>70</v>
      </c>
      <c r="H65" s="10" t="s">
        <v>103</v>
      </c>
      <c r="I65" s="10" t="n">
        <v>-1.57</v>
      </c>
      <c r="J65" s="10" t="n">
        <v>28</v>
      </c>
      <c r="K65" s="10" t="n">
        <v>0</v>
      </c>
      <c r="L65" s="10"/>
      <c r="M65" s="10" t="s">
        <v>92</v>
      </c>
      <c r="N65" s="10" t="s">
        <v>93</v>
      </c>
      <c r="O65" s="10" t="s">
        <v>94</v>
      </c>
      <c r="P65" s="10" t="s">
        <v>142</v>
      </c>
      <c r="Q65" s="12" t="s">
        <v>254</v>
      </c>
      <c r="R65" s="12" t="s">
        <v>255</v>
      </c>
      <c r="S65" s="12" t="s">
        <v>256</v>
      </c>
      <c r="T65" s="10" t="s">
        <v>99</v>
      </c>
      <c r="U65" s="10" t="s">
        <v>79</v>
      </c>
      <c r="V65" s="10" t="n">
        <v>4</v>
      </c>
      <c r="W65" s="10" t="s">
        <v>257</v>
      </c>
      <c r="X65" s="10" t="s">
        <v>81</v>
      </c>
    </row>
    <row r="66" customFormat="false" ht="34.5" hidden="false" customHeight="true" outlineLevel="0" collapsed="false">
      <c r="A66" s="10" t="s">
        <v>270</v>
      </c>
      <c r="B66" s="15" t="s">
        <v>35</v>
      </c>
      <c r="C66" s="10" t="s">
        <v>250</v>
      </c>
      <c r="D66" s="10" t="s">
        <v>251</v>
      </c>
      <c r="E66" s="10" t="s">
        <v>252</v>
      </c>
      <c r="F66" s="10" t="s">
        <v>271</v>
      </c>
      <c r="G66" s="10" t="s">
        <v>70</v>
      </c>
      <c r="H66" s="10" t="s">
        <v>106</v>
      </c>
      <c r="I66" s="10" t="n">
        <v>-3.28</v>
      </c>
      <c r="J66" s="10" t="n">
        <v>22</v>
      </c>
      <c r="K66" s="10" t="n">
        <v>0</v>
      </c>
      <c r="L66" s="10" t="n">
        <v>0.02</v>
      </c>
      <c r="M66" s="10" t="s">
        <v>92</v>
      </c>
      <c r="N66" s="10" t="s">
        <v>93</v>
      </c>
      <c r="O66" s="10" t="s">
        <v>94</v>
      </c>
      <c r="P66" s="10" t="s">
        <v>142</v>
      </c>
      <c r="Q66" s="12" t="s">
        <v>254</v>
      </c>
      <c r="R66" s="12" t="s">
        <v>260</v>
      </c>
      <c r="S66" s="12" t="s">
        <v>256</v>
      </c>
      <c r="T66" s="10" t="s">
        <v>272</v>
      </c>
      <c r="U66" s="10" t="s">
        <v>79</v>
      </c>
      <c r="V66" s="10" t="n">
        <v>4</v>
      </c>
      <c r="W66" s="10" t="s">
        <v>257</v>
      </c>
      <c r="X66" s="10" t="s">
        <v>81</v>
      </c>
    </row>
    <row r="67" customFormat="false" ht="34.5" hidden="false" customHeight="true" outlineLevel="0" collapsed="false">
      <c r="A67" s="10" t="s">
        <v>273</v>
      </c>
      <c r="B67" s="15" t="s">
        <v>35</v>
      </c>
      <c r="C67" s="10" t="s">
        <v>250</v>
      </c>
      <c r="D67" s="10" t="s">
        <v>251</v>
      </c>
      <c r="E67" s="10" t="s">
        <v>252</v>
      </c>
      <c r="F67" s="10" t="s">
        <v>274</v>
      </c>
      <c r="G67" s="10" t="s">
        <v>70</v>
      </c>
      <c r="H67" s="10" t="s">
        <v>103</v>
      </c>
      <c r="I67" s="10" t="n">
        <v>-3.33</v>
      </c>
      <c r="J67" s="10" t="n">
        <v>22</v>
      </c>
      <c r="K67" s="10" t="n">
        <v>0</v>
      </c>
      <c r="L67" s="10"/>
      <c r="M67" s="10" t="s">
        <v>92</v>
      </c>
      <c r="N67" s="10" t="s">
        <v>93</v>
      </c>
      <c r="O67" s="10" t="s">
        <v>94</v>
      </c>
      <c r="P67" s="10" t="s">
        <v>142</v>
      </c>
      <c r="Q67" s="12" t="s">
        <v>254</v>
      </c>
      <c r="R67" s="12" t="s">
        <v>260</v>
      </c>
      <c r="S67" s="12" t="s">
        <v>256</v>
      </c>
      <c r="T67" s="10" t="s">
        <v>275</v>
      </c>
      <c r="U67" s="10" t="s">
        <v>79</v>
      </c>
      <c r="V67" s="10" t="n">
        <v>4</v>
      </c>
      <c r="W67" s="10" t="s">
        <v>257</v>
      </c>
      <c r="X67" s="10" t="s">
        <v>81</v>
      </c>
    </row>
    <row r="68" customFormat="false" ht="34.5" hidden="false" customHeight="true" outlineLevel="0" collapsed="false">
      <c r="A68" s="10" t="s">
        <v>276</v>
      </c>
      <c r="B68" s="15" t="s">
        <v>35</v>
      </c>
      <c r="C68" s="10" t="s">
        <v>250</v>
      </c>
      <c r="D68" s="10" t="s">
        <v>251</v>
      </c>
      <c r="E68" s="10" t="s">
        <v>252</v>
      </c>
      <c r="F68" s="10" t="s">
        <v>277</v>
      </c>
      <c r="G68" s="10" t="s">
        <v>70</v>
      </c>
      <c r="H68" s="10" t="s">
        <v>106</v>
      </c>
      <c r="I68" s="10" t="n">
        <v>-1.74</v>
      </c>
      <c r="J68" s="10" t="n">
        <v>78</v>
      </c>
      <c r="K68" s="10" t="n">
        <v>0</v>
      </c>
      <c r="L68" s="10" t="n">
        <v>0.05</v>
      </c>
      <c r="M68" s="10" t="s">
        <v>92</v>
      </c>
      <c r="N68" s="10" t="s">
        <v>93</v>
      </c>
      <c r="O68" s="10" t="s">
        <v>94</v>
      </c>
      <c r="P68" s="10" t="s">
        <v>142</v>
      </c>
      <c r="Q68" s="12" t="s">
        <v>254</v>
      </c>
      <c r="R68" s="12" t="s">
        <v>255</v>
      </c>
      <c r="S68" s="12" t="s">
        <v>256</v>
      </c>
      <c r="T68" s="10" t="s">
        <v>99</v>
      </c>
      <c r="U68" s="10" t="s">
        <v>79</v>
      </c>
      <c r="V68" s="10" t="n">
        <v>4</v>
      </c>
      <c r="W68" s="10" t="s">
        <v>257</v>
      </c>
      <c r="X68" s="10" t="s">
        <v>81</v>
      </c>
    </row>
    <row r="69" customFormat="false" ht="34.5" hidden="false" customHeight="true" outlineLevel="0" collapsed="false">
      <c r="A69" s="10" t="s">
        <v>278</v>
      </c>
      <c r="B69" s="15" t="s">
        <v>35</v>
      </c>
      <c r="C69" s="10" t="s">
        <v>250</v>
      </c>
      <c r="D69" s="10" t="s">
        <v>251</v>
      </c>
      <c r="E69" s="10" t="s">
        <v>252</v>
      </c>
      <c r="F69" s="10" t="s">
        <v>279</v>
      </c>
      <c r="G69" s="10" t="s">
        <v>70</v>
      </c>
      <c r="H69" s="10" t="s">
        <v>71</v>
      </c>
      <c r="I69" s="10" t="n">
        <v>-1.33</v>
      </c>
      <c r="J69" s="10" t="n">
        <v>11</v>
      </c>
      <c r="K69" s="10" t="n">
        <v>0</v>
      </c>
      <c r="L69" s="10" t="n">
        <v>0</v>
      </c>
      <c r="M69" s="10" t="s">
        <v>92</v>
      </c>
      <c r="N69" s="10" t="s">
        <v>93</v>
      </c>
      <c r="O69" s="10" t="s">
        <v>94</v>
      </c>
      <c r="P69" s="10" t="s">
        <v>142</v>
      </c>
      <c r="Q69" s="12" t="s">
        <v>254</v>
      </c>
      <c r="R69" s="12" t="s">
        <v>260</v>
      </c>
      <c r="S69" s="12" t="s">
        <v>256</v>
      </c>
      <c r="T69" s="10" t="s">
        <v>280</v>
      </c>
      <c r="U69" s="10" t="s">
        <v>79</v>
      </c>
      <c r="V69" s="10" t="n">
        <v>4</v>
      </c>
      <c r="W69" s="10" t="s">
        <v>257</v>
      </c>
      <c r="X69" s="10" t="s">
        <v>81</v>
      </c>
    </row>
    <row r="70" customFormat="false" ht="34.5" hidden="false" customHeight="true" outlineLevel="0" collapsed="false">
      <c r="A70" s="10" t="s">
        <v>281</v>
      </c>
      <c r="B70" s="15" t="s">
        <v>35</v>
      </c>
      <c r="C70" s="10" t="s">
        <v>250</v>
      </c>
      <c r="D70" s="10" t="s">
        <v>251</v>
      </c>
      <c r="E70" s="10" t="s">
        <v>252</v>
      </c>
      <c r="F70" s="10" t="s">
        <v>282</v>
      </c>
      <c r="G70" s="10" t="s">
        <v>70</v>
      </c>
      <c r="H70" s="10" t="s">
        <v>71</v>
      </c>
      <c r="I70" s="10" t="n">
        <v>-3.84</v>
      </c>
      <c r="J70" s="10" t="n">
        <v>17</v>
      </c>
      <c r="K70" s="10" t="n">
        <v>0</v>
      </c>
      <c r="L70" s="10" t="n">
        <v>0</v>
      </c>
      <c r="M70" s="10" t="s">
        <v>92</v>
      </c>
      <c r="N70" s="10" t="s">
        <v>93</v>
      </c>
      <c r="O70" s="10" t="s">
        <v>94</v>
      </c>
      <c r="P70" s="10" t="s">
        <v>142</v>
      </c>
      <c r="Q70" s="12" t="s">
        <v>254</v>
      </c>
      <c r="R70" s="12" t="s">
        <v>255</v>
      </c>
      <c r="S70" s="12" t="s">
        <v>256</v>
      </c>
      <c r="T70" s="10" t="s">
        <v>283</v>
      </c>
      <c r="U70" s="10" t="s">
        <v>79</v>
      </c>
      <c r="V70" s="10" t="n">
        <v>4</v>
      </c>
      <c r="W70" s="10" t="s">
        <v>257</v>
      </c>
      <c r="X70" s="10" t="s">
        <v>81</v>
      </c>
    </row>
    <row r="71" customFormat="false" ht="34.5" hidden="false" customHeight="true" outlineLevel="0" collapsed="false">
      <c r="A71" s="10" t="s">
        <v>284</v>
      </c>
      <c r="B71" s="15" t="s">
        <v>35</v>
      </c>
      <c r="C71" s="10" t="s">
        <v>250</v>
      </c>
      <c r="D71" s="10" t="s">
        <v>251</v>
      </c>
      <c r="E71" s="10" t="s">
        <v>252</v>
      </c>
      <c r="F71" s="10" t="s">
        <v>285</v>
      </c>
      <c r="G71" s="10" t="s">
        <v>70</v>
      </c>
      <c r="H71" s="10" t="s">
        <v>71</v>
      </c>
      <c r="I71" s="10" t="n">
        <v>-3.37</v>
      </c>
      <c r="J71" s="10" t="n">
        <v>20</v>
      </c>
      <c r="K71" s="10" t="n">
        <v>0</v>
      </c>
      <c r="L71" s="10" t="n">
        <v>0</v>
      </c>
      <c r="M71" s="10" t="s">
        <v>92</v>
      </c>
      <c r="N71" s="10" t="s">
        <v>93</v>
      </c>
      <c r="O71" s="10" t="s">
        <v>94</v>
      </c>
      <c r="P71" s="10" t="s">
        <v>142</v>
      </c>
      <c r="Q71" s="12" t="s">
        <v>254</v>
      </c>
      <c r="R71" s="12" t="s">
        <v>260</v>
      </c>
      <c r="S71" s="12" t="s">
        <v>256</v>
      </c>
      <c r="T71" s="10" t="s">
        <v>286</v>
      </c>
      <c r="U71" s="10" t="s">
        <v>79</v>
      </c>
      <c r="V71" s="10" t="n">
        <v>4</v>
      </c>
      <c r="W71" s="10" t="s">
        <v>257</v>
      </c>
      <c r="X71" s="10" t="s">
        <v>81</v>
      </c>
    </row>
    <row r="72" customFormat="false" ht="34.5" hidden="false" customHeight="true" outlineLevel="0" collapsed="false">
      <c r="A72" s="10" t="s">
        <v>287</v>
      </c>
      <c r="B72" s="15" t="s">
        <v>35</v>
      </c>
      <c r="C72" s="10" t="s">
        <v>250</v>
      </c>
      <c r="D72" s="10" t="s">
        <v>251</v>
      </c>
      <c r="E72" s="10" t="s">
        <v>252</v>
      </c>
      <c r="F72" s="10" t="s">
        <v>288</v>
      </c>
      <c r="G72" s="10" t="s">
        <v>70</v>
      </c>
      <c r="H72" s="10" t="s">
        <v>71</v>
      </c>
      <c r="I72" s="10" t="n">
        <v>-2.95</v>
      </c>
      <c r="J72" s="10" t="n">
        <v>16</v>
      </c>
      <c r="K72" s="10" t="n">
        <v>0</v>
      </c>
      <c r="L72" s="10" t="n">
        <v>0</v>
      </c>
      <c r="M72" s="10" t="s">
        <v>92</v>
      </c>
      <c r="N72" s="10" t="s">
        <v>93</v>
      </c>
      <c r="O72" s="10" t="s">
        <v>94</v>
      </c>
      <c r="P72" s="10" t="s">
        <v>142</v>
      </c>
      <c r="Q72" s="12" t="s">
        <v>254</v>
      </c>
      <c r="R72" s="12" t="s">
        <v>260</v>
      </c>
      <c r="S72" s="12" t="s">
        <v>256</v>
      </c>
      <c r="T72" s="10" t="s">
        <v>289</v>
      </c>
      <c r="U72" s="10" t="s">
        <v>79</v>
      </c>
      <c r="V72" s="10" t="n">
        <v>4</v>
      </c>
      <c r="W72" s="10" t="s">
        <v>257</v>
      </c>
      <c r="X72" s="10" t="s">
        <v>81</v>
      </c>
    </row>
    <row r="73" customFormat="false" ht="34.5" hidden="false" customHeight="true" outlineLevel="0" collapsed="false">
      <c r="A73" s="10" t="s">
        <v>290</v>
      </c>
      <c r="B73" s="15" t="s">
        <v>35</v>
      </c>
      <c r="C73" s="10" t="s">
        <v>250</v>
      </c>
      <c r="D73" s="10" t="s">
        <v>251</v>
      </c>
      <c r="E73" s="10" t="s">
        <v>252</v>
      </c>
      <c r="F73" s="10" t="s">
        <v>291</v>
      </c>
      <c r="G73" s="10" t="s">
        <v>70</v>
      </c>
      <c r="H73" s="10" t="s">
        <v>71</v>
      </c>
      <c r="I73" s="10" t="n">
        <v>-4.16</v>
      </c>
      <c r="J73" s="10" t="n">
        <v>18</v>
      </c>
      <c r="K73" s="10" t="n">
        <v>0</v>
      </c>
      <c r="L73" s="10" t="n">
        <v>0.15</v>
      </c>
      <c r="M73" s="10" t="s">
        <v>92</v>
      </c>
      <c r="N73" s="10" t="s">
        <v>93</v>
      </c>
      <c r="O73" s="10" t="s">
        <v>94</v>
      </c>
      <c r="P73" s="10" t="s">
        <v>142</v>
      </c>
      <c r="Q73" s="12" t="s">
        <v>254</v>
      </c>
      <c r="R73" s="12" t="s">
        <v>260</v>
      </c>
      <c r="S73" s="12" t="s">
        <v>256</v>
      </c>
      <c r="T73" s="10" t="s">
        <v>292</v>
      </c>
      <c r="U73" s="10" t="s">
        <v>79</v>
      </c>
      <c r="V73" s="10" t="n">
        <v>4</v>
      </c>
      <c r="W73" s="10" t="s">
        <v>257</v>
      </c>
      <c r="X73" s="10" t="s">
        <v>81</v>
      </c>
    </row>
    <row r="74" customFormat="false" ht="34.5" hidden="false" customHeight="true" outlineLevel="0" collapsed="false">
      <c r="A74" s="10" t="s">
        <v>293</v>
      </c>
      <c r="B74" s="15" t="s">
        <v>35</v>
      </c>
      <c r="C74" s="10" t="s">
        <v>250</v>
      </c>
      <c r="D74" s="10" t="s">
        <v>251</v>
      </c>
      <c r="E74" s="10" t="s">
        <v>252</v>
      </c>
      <c r="F74" s="10" t="s">
        <v>294</v>
      </c>
      <c r="G74" s="10" t="s">
        <v>70</v>
      </c>
      <c r="H74" s="10" t="s">
        <v>174</v>
      </c>
      <c r="I74" s="10" t="n">
        <v>-3.56</v>
      </c>
      <c r="J74" s="10" t="n">
        <v>17</v>
      </c>
      <c r="K74" s="10" t="n">
        <v>0</v>
      </c>
      <c r="L74" s="10" t="n">
        <v>0.02</v>
      </c>
      <c r="M74" s="10" t="s">
        <v>92</v>
      </c>
      <c r="N74" s="10" t="s">
        <v>93</v>
      </c>
      <c r="O74" s="10" t="s">
        <v>94</v>
      </c>
      <c r="P74" s="10" t="s">
        <v>142</v>
      </c>
      <c r="Q74" s="12" t="s">
        <v>254</v>
      </c>
      <c r="R74" s="12" t="s">
        <v>260</v>
      </c>
      <c r="S74" s="12" t="s">
        <v>256</v>
      </c>
      <c r="T74" s="10" t="s">
        <v>295</v>
      </c>
      <c r="U74" s="10" t="s">
        <v>79</v>
      </c>
      <c r="V74" s="10" t="n">
        <v>4</v>
      </c>
      <c r="W74" s="10" t="s">
        <v>257</v>
      </c>
      <c r="X74" s="10" t="s">
        <v>81</v>
      </c>
    </row>
    <row r="75" customFormat="false" ht="34.5" hidden="false" customHeight="true" outlineLevel="0" collapsed="false">
      <c r="A75" s="10" t="s">
        <v>296</v>
      </c>
      <c r="B75" s="15" t="s">
        <v>35</v>
      </c>
      <c r="C75" s="10" t="s">
        <v>250</v>
      </c>
      <c r="D75" s="10" t="s">
        <v>251</v>
      </c>
      <c r="E75" s="10" t="s">
        <v>252</v>
      </c>
      <c r="F75" s="10" t="s">
        <v>297</v>
      </c>
      <c r="G75" s="10" t="s">
        <v>70</v>
      </c>
      <c r="H75" s="10" t="s">
        <v>71</v>
      </c>
      <c r="I75" s="10" t="n">
        <v>-3.06</v>
      </c>
      <c r="J75" s="10" t="n">
        <v>19</v>
      </c>
      <c r="K75" s="10" t="n">
        <v>0</v>
      </c>
      <c r="L75" s="10" t="n">
        <v>0.04</v>
      </c>
      <c r="M75" s="10" t="s">
        <v>92</v>
      </c>
      <c r="N75" s="10" t="s">
        <v>93</v>
      </c>
      <c r="O75" s="10" t="s">
        <v>94</v>
      </c>
      <c r="P75" s="10" t="s">
        <v>142</v>
      </c>
      <c r="Q75" s="12" t="s">
        <v>254</v>
      </c>
      <c r="R75" s="12" t="s">
        <v>260</v>
      </c>
      <c r="S75" s="12" t="s">
        <v>256</v>
      </c>
      <c r="T75" s="10" t="s">
        <v>298</v>
      </c>
      <c r="U75" s="10" t="s">
        <v>79</v>
      </c>
      <c r="V75" s="10" t="n">
        <v>4</v>
      </c>
      <c r="W75" s="10" t="s">
        <v>257</v>
      </c>
      <c r="X75" s="10" t="s">
        <v>81</v>
      </c>
    </row>
    <row r="76" customFormat="false" ht="23.25" hidden="false" customHeight="true" outlineLevel="0" collapsed="false">
      <c r="A76" s="10" t="s">
        <v>299</v>
      </c>
      <c r="B76" s="16" t="s">
        <v>37</v>
      </c>
      <c r="C76" s="10" t="s">
        <v>300</v>
      </c>
      <c r="D76" s="10" t="s">
        <v>88</v>
      </c>
      <c r="E76" s="10" t="s">
        <v>140</v>
      </c>
      <c r="F76" s="10" t="s">
        <v>301</v>
      </c>
      <c r="G76" s="10" t="s">
        <v>70</v>
      </c>
      <c r="H76" s="10" t="s">
        <v>106</v>
      </c>
      <c r="I76" s="10" t="n">
        <v>-5.59</v>
      </c>
      <c r="J76" s="10" t="n">
        <v>62</v>
      </c>
      <c r="K76" s="10" t="n">
        <v>0</v>
      </c>
      <c r="L76" s="10" t="n">
        <v>0</v>
      </c>
      <c r="M76" s="10" t="s">
        <v>92</v>
      </c>
      <c r="N76" s="10" t="s">
        <v>93</v>
      </c>
      <c r="O76" s="10" t="s">
        <v>142</v>
      </c>
      <c r="P76" s="10" t="s">
        <v>143</v>
      </c>
      <c r="Q76" s="12" t="s">
        <v>96</v>
      </c>
      <c r="R76" s="12" t="s">
        <v>97</v>
      </c>
      <c r="S76" s="12" t="s">
        <v>302</v>
      </c>
      <c r="T76" s="10" t="s">
        <v>149</v>
      </c>
      <c r="U76" s="10" t="s">
        <v>79</v>
      </c>
      <c r="V76" s="10" t="n">
        <v>3</v>
      </c>
      <c r="W76" s="10" t="s">
        <v>100</v>
      </c>
      <c r="X76" s="10" t="s">
        <v>81</v>
      </c>
    </row>
    <row r="77" customFormat="false" ht="23.25" hidden="false" customHeight="true" outlineLevel="0" collapsed="false">
      <c r="A77" s="10" t="s">
        <v>303</v>
      </c>
      <c r="B77" s="16" t="s">
        <v>37</v>
      </c>
      <c r="C77" s="10" t="s">
        <v>300</v>
      </c>
      <c r="D77" s="10" t="s">
        <v>88</v>
      </c>
      <c r="E77" s="10" t="s">
        <v>140</v>
      </c>
      <c r="F77" s="10" t="s">
        <v>304</v>
      </c>
      <c r="G77" s="10" t="s">
        <v>70</v>
      </c>
      <c r="H77" s="10" t="s">
        <v>103</v>
      </c>
      <c r="I77" s="10" t="n">
        <v>-6.41</v>
      </c>
      <c r="J77" s="10" t="n">
        <v>21</v>
      </c>
      <c r="K77" s="10" t="n">
        <v>0</v>
      </c>
      <c r="L77" s="10"/>
      <c r="M77" s="10" t="s">
        <v>92</v>
      </c>
      <c r="N77" s="10" t="s">
        <v>93</v>
      </c>
      <c r="O77" s="10" t="s">
        <v>142</v>
      </c>
      <c r="P77" s="10" t="s">
        <v>143</v>
      </c>
      <c r="Q77" s="12" t="s">
        <v>96</v>
      </c>
      <c r="R77" s="12" t="s">
        <v>97</v>
      </c>
      <c r="S77" s="12" t="s">
        <v>302</v>
      </c>
      <c r="T77" s="10" t="s">
        <v>305</v>
      </c>
      <c r="U77" s="10" t="s">
        <v>79</v>
      </c>
      <c r="V77" s="10" t="n">
        <v>3</v>
      </c>
      <c r="W77" s="10" t="s">
        <v>100</v>
      </c>
      <c r="X77" s="10" t="s">
        <v>81</v>
      </c>
    </row>
    <row r="78" customFormat="false" ht="23.25" hidden="false" customHeight="true" outlineLevel="0" collapsed="false">
      <c r="A78" s="10" t="s">
        <v>306</v>
      </c>
      <c r="B78" s="16" t="s">
        <v>37</v>
      </c>
      <c r="C78" s="10" t="s">
        <v>300</v>
      </c>
      <c r="D78" s="10" t="s">
        <v>88</v>
      </c>
      <c r="E78" s="10" t="s">
        <v>140</v>
      </c>
      <c r="F78" s="10" t="s">
        <v>307</v>
      </c>
      <c r="G78" s="10" t="s">
        <v>70</v>
      </c>
      <c r="H78" s="10" t="s">
        <v>103</v>
      </c>
      <c r="I78" s="10" t="n">
        <v>-3.1</v>
      </c>
      <c r="J78" s="10" t="n">
        <v>39</v>
      </c>
      <c r="K78" s="10" t="n">
        <v>0</v>
      </c>
      <c r="L78" s="10"/>
      <c r="M78" s="10" t="s">
        <v>92</v>
      </c>
      <c r="N78" s="10" t="s">
        <v>93</v>
      </c>
      <c r="O78" s="10" t="s">
        <v>142</v>
      </c>
      <c r="P78" s="10" t="s">
        <v>143</v>
      </c>
      <c r="Q78" s="12" t="s">
        <v>96</v>
      </c>
      <c r="R78" s="12" t="s">
        <v>97</v>
      </c>
      <c r="S78" s="12" t="s">
        <v>302</v>
      </c>
      <c r="T78" s="10" t="s">
        <v>99</v>
      </c>
      <c r="U78" s="10" t="s">
        <v>79</v>
      </c>
      <c r="V78" s="10" t="n">
        <v>3</v>
      </c>
      <c r="W78" s="10" t="s">
        <v>100</v>
      </c>
      <c r="X78" s="10" t="s">
        <v>81</v>
      </c>
    </row>
    <row r="79" customFormat="false" ht="23.25" hidden="false" customHeight="true" outlineLevel="0" collapsed="false">
      <c r="A79" s="10" t="s">
        <v>308</v>
      </c>
      <c r="B79" s="16" t="s">
        <v>37</v>
      </c>
      <c r="C79" s="10" t="s">
        <v>300</v>
      </c>
      <c r="D79" s="10" t="s">
        <v>88</v>
      </c>
      <c r="E79" s="10" t="s">
        <v>140</v>
      </c>
      <c r="F79" s="10" t="s">
        <v>309</v>
      </c>
      <c r="G79" s="10" t="s">
        <v>70</v>
      </c>
      <c r="H79" s="10" t="s">
        <v>103</v>
      </c>
      <c r="I79" s="10" t="n">
        <v>-2.22</v>
      </c>
      <c r="J79" s="10" t="n">
        <v>32</v>
      </c>
      <c r="K79" s="10" t="n">
        <v>0</v>
      </c>
      <c r="L79" s="10"/>
      <c r="M79" s="10" t="s">
        <v>92</v>
      </c>
      <c r="N79" s="10" t="s">
        <v>93</v>
      </c>
      <c r="O79" s="10" t="s">
        <v>142</v>
      </c>
      <c r="P79" s="10" t="s">
        <v>143</v>
      </c>
      <c r="Q79" s="12" t="s">
        <v>96</v>
      </c>
      <c r="R79" s="12" t="s">
        <v>97</v>
      </c>
      <c r="S79" s="12" t="s">
        <v>302</v>
      </c>
      <c r="T79" s="10" t="s">
        <v>99</v>
      </c>
      <c r="U79" s="10" t="s">
        <v>79</v>
      </c>
      <c r="V79" s="10" t="n">
        <v>3</v>
      </c>
      <c r="W79" s="10" t="s">
        <v>100</v>
      </c>
      <c r="X79" s="10" t="s">
        <v>81</v>
      </c>
    </row>
    <row r="80" customFormat="false" ht="23.25" hidden="false" customHeight="true" outlineLevel="0" collapsed="false">
      <c r="A80" s="10" t="s">
        <v>310</v>
      </c>
      <c r="B80" s="16" t="s">
        <v>37</v>
      </c>
      <c r="C80" s="10" t="s">
        <v>300</v>
      </c>
      <c r="D80" s="10" t="s">
        <v>88</v>
      </c>
      <c r="E80" s="10" t="s">
        <v>140</v>
      </c>
      <c r="F80" s="10" t="s">
        <v>311</v>
      </c>
      <c r="G80" s="10" t="s">
        <v>70</v>
      </c>
      <c r="H80" s="10" t="s">
        <v>103</v>
      </c>
      <c r="I80" s="10" t="n">
        <v>-1.99</v>
      </c>
      <c r="J80" s="10" t="n">
        <v>45</v>
      </c>
      <c r="K80" s="10" t="n">
        <v>0</v>
      </c>
      <c r="L80" s="10"/>
      <c r="M80" s="10" t="s">
        <v>92</v>
      </c>
      <c r="N80" s="10" t="s">
        <v>93</v>
      </c>
      <c r="O80" s="10" t="s">
        <v>142</v>
      </c>
      <c r="P80" s="10" t="s">
        <v>143</v>
      </c>
      <c r="Q80" s="12" t="s">
        <v>96</v>
      </c>
      <c r="R80" s="12" t="s">
        <v>97</v>
      </c>
      <c r="S80" s="12" t="s">
        <v>302</v>
      </c>
      <c r="T80" s="10" t="s">
        <v>99</v>
      </c>
      <c r="U80" s="10" t="s">
        <v>79</v>
      </c>
      <c r="V80" s="10" t="n">
        <v>3</v>
      </c>
      <c r="W80" s="10" t="s">
        <v>100</v>
      </c>
      <c r="X80" s="10" t="s">
        <v>81</v>
      </c>
    </row>
    <row r="81" customFormat="false" ht="23.25" hidden="false" customHeight="true" outlineLevel="0" collapsed="false">
      <c r="A81" s="10" t="s">
        <v>312</v>
      </c>
      <c r="B81" s="16" t="s">
        <v>37</v>
      </c>
      <c r="C81" s="10" t="s">
        <v>300</v>
      </c>
      <c r="D81" s="10" t="s">
        <v>88</v>
      </c>
      <c r="E81" s="10" t="s">
        <v>140</v>
      </c>
      <c r="F81" s="10" t="s">
        <v>313</v>
      </c>
      <c r="G81" s="10" t="s">
        <v>70</v>
      </c>
      <c r="H81" s="10" t="s">
        <v>106</v>
      </c>
      <c r="I81" s="10" t="n">
        <v>-2.46</v>
      </c>
      <c r="J81" s="10" t="n">
        <v>64</v>
      </c>
      <c r="K81" s="10" t="n">
        <v>0</v>
      </c>
      <c r="L81" s="10" t="n">
        <v>0</v>
      </c>
      <c r="M81" s="10" t="s">
        <v>92</v>
      </c>
      <c r="N81" s="10" t="s">
        <v>93</v>
      </c>
      <c r="O81" s="10" t="s">
        <v>142</v>
      </c>
      <c r="P81" s="10" t="s">
        <v>143</v>
      </c>
      <c r="Q81" s="12" t="s">
        <v>96</v>
      </c>
      <c r="R81" s="12" t="s">
        <v>97</v>
      </c>
      <c r="S81" s="12" t="s">
        <v>302</v>
      </c>
      <c r="T81" s="10" t="s">
        <v>99</v>
      </c>
      <c r="U81" s="10" t="s">
        <v>79</v>
      </c>
      <c r="V81" s="10" t="n">
        <v>3</v>
      </c>
      <c r="W81" s="10" t="s">
        <v>100</v>
      </c>
      <c r="X81" s="10" t="s">
        <v>81</v>
      </c>
    </row>
    <row r="82" customFormat="false" ht="23.25" hidden="false" customHeight="true" outlineLevel="0" collapsed="false">
      <c r="A82" s="10" t="s">
        <v>314</v>
      </c>
      <c r="B82" s="16" t="s">
        <v>37</v>
      </c>
      <c r="C82" s="10" t="s">
        <v>300</v>
      </c>
      <c r="D82" s="10" t="s">
        <v>88</v>
      </c>
      <c r="E82" s="10" t="s">
        <v>140</v>
      </c>
      <c r="F82" s="10" t="s">
        <v>315</v>
      </c>
      <c r="G82" s="10" t="s">
        <v>70</v>
      </c>
      <c r="H82" s="10" t="s">
        <v>106</v>
      </c>
      <c r="I82" s="10" t="n">
        <v>-3.47</v>
      </c>
      <c r="J82" s="10" t="n">
        <v>72</v>
      </c>
      <c r="K82" s="10" t="n">
        <v>0</v>
      </c>
      <c r="L82" s="10" t="n">
        <v>0</v>
      </c>
      <c r="M82" s="10" t="s">
        <v>92</v>
      </c>
      <c r="N82" s="10" t="s">
        <v>93</v>
      </c>
      <c r="O82" s="10" t="s">
        <v>142</v>
      </c>
      <c r="P82" s="10" t="s">
        <v>143</v>
      </c>
      <c r="Q82" s="12" t="s">
        <v>96</v>
      </c>
      <c r="R82" s="12" t="s">
        <v>97</v>
      </c>
      <c r="S82" s="12" t="s">
        <v>302</v>
      </c>
      <c r="T82" s="10" t="s">
        <v>316</v>
      </c>
      <c r="U82" s="10" t="s">
        <v>79</v>
      </c>
      <c r="V82" s="10" t="n">
        <v>3</v>
      </c>
      <c r="W82" s="10" t="s">
        <v>100</v>
      </c>
      <c r="X82" s="10" t="s">
        <v>81</v>
      </c>
    </row>
    <row r="83" customFormat="false" ht="23.25" hidden="false" customHeight="true" outlineLevel="0" collapsed="false">
      <c r="A83" s="10" t="s">
        <v>317</v>
      </c>
      <c r="B83" s="16" t="s">
        <v>37</v>
      </c>
      <c r="C83" s="10" t="s">
        <v>300</v>
      </c>
      <c r="D83" s="10" t="s">
        <v>88</v>
      </c>
      <c r="E83" s="10" t="s">
        <v>140</v>
      </c>
      <c r="F83" s="10" t="s">
        <v>318</v>
      </c>
      <c r="G83" s="10" t="s">
        <v>70</v>
      </c>
      <c r="H83" s="10" t="s">
        <v>103</v>
      </c>
      <c r="I83" s="10" t="n">
        <v>-2.78</v>
      </c>
      <c r="J83" s="10" t="n">
        <v>40</v>
      </c>
      <c r="K83" s="10" t="n">
        <v>0</v>
      </c>
      <c r="L83" s="10"/>
      <c r="M83" s="10" t="s">
        <v>92</v>
      </c>
      <c r="N83" s="10" t="s">
        <v>93</v>
      </c>
      <c r="O83" s="10" t="s">
        <v>142</v>
      </c>
      <c r="P83" s="10" t="s">
        <v>143</v>
      </c>
      <c r="Q83" s="12" t="s">
        <v>96</v>
      </c>
      <c r="R83" s="12" t="s">
        <v>97</v>
      </c>
      <c r="S83" s="12" t="s">
        <v>302</v>
      </c>
      <c r="T83" s="10" t="s">
        <v>99</v>
      </c>
      <c r="U83" s="10" t="s">
        <v>79</v>
      </c>
      <c r="V83" s="10" t="n">
        <v>3</v>
      </c>
      <c r="W83" s="10" t="s">
        <v>100</v>
      </c>
      <c r="X83" s="10" t="s">
        <v>81</v>
      </c>
    </row>
    <row r="84" customFormat="false" ht="23.25" hidden="false" customHeight="true" outlineLevel="0" collapsed="false">
      <c r="A84" s="10" t="s">
        <v>319</v>
      </c>
      <c r="B84" s="16" t="s">
        <v>37</v>
      </c>
      <c r="C84" s="10" t="s">
        <v>300</v>
      </c>
      <c r="D84" s="10" t="s">
        <v>88</v>
      </c>
      <c r="E84" s="10" t="s">
        <v>140</v>
      </c>
      <c r="F84" s="10" t="s">
        <v>320</v>
      </c>
      <c r="G84" s="10" t="s">
        <v>70</v>
      </c>
      <c r="H84" s="10" t="s">
        <v>91</v>
      </c>
      <c r="I84" s="10" t="n">
        <v>-3.6</v>
      </c>
      <c r="J84" s="10" t="n">
        <v>65</v>
      </c>
      <c r="K84" s="10" t="n">
        <v>0</v>
      </c>
      <c r="L84" s="10" t="n">
        <v>0.33</v>
      </c>
      <c r="M84" s="10" t="s">
        <v>92</v>
      </c>
      <c r="N84" s="10" t="s">
        <v>93</v>
      </c>
      <c r="O84" s="10" t="s">
        <v>142</v>
      </c>
      <c r="P84" s="10" t="s">
        <v>143</v>
      </c>
      <c r="Q84" s="12" t="s">
        <v>96</v>
      </c>
      <c r="R84" s="12" t="s">
        <v>97</v>
      </c>
      <c r="S84" s="12" t="s">
        <v>302</v>
      </c>
      <c r="T84" s="10" t="s">
        <v>321</v>
      </c>
      <c r="U84" s="10" t="s">
        <v>79</v>
      </c>
      <c r="V84" s="10" t="n">
        <v>3</v>
      </c>
      <c r="W84" s="10" t="s">
        <v>100</v>
      </c>
      <c r="X84" s="10" t="s">
        <v>81</v>
      </c>
    </row>
    <row r="85" customFormat="false" ht="23.25" hidden="false" customHeight="true" outlineLevel="0" collapsed="false">
      <c r="A85" s="10" t="s">
        <v>322</v>
      </c>
      <c r="B85" s="16" t="s">
        <v>37</v>
      </c>
      <c r="C85" s="10" t="s">
        <v>300</v>
      </c>
      <c r="D85" s="10" t="s">
        <v>88</v>
      </c>
      <c r="E85" s="10" t="s">
        <v>140</v>
      </c>
      <c r="F85" s="10" t="s">
        <v>323</v>
      </c>
      <c r="G85" s="10" t="s">
        <v>70</v>
      </c>
      <c r="H85" s="10" t="s">
        <v>103</v>
      </c>
      <c r="I85" s="10" t="n">
        <v>-2.94</v>
      </c>
      <c r="J85" s="10" t="n">
        <v>38</v>
      </c>
      <c r="K85" s="10" t="n">
        <v>0</v>
      </c>
      <c r="L85" s="10"/>
      <c r="M85" s="10" t="s">
        <v>92</v>
      </c>
      <c r="N85" s="10" t="s">
        <v>93</v>
      </c>
      <c r="O85" s="10" t="s">
        <v>142</v>
      </c>
      <c r="P85" s="10" t="s">
        <v>143</v>
      </c>
      <c r="Q85" s="12" t="s">
        <v>96</v>
      </c>
      <c r="R85" s="12" t="s">
        <v>97</v>
      </c>
      <c r="S85" s="12" t="s">
        <v>302</v>
      </c>
      <c r="T85" s="10" t="s">
        <v>99</v>
      </c>
      <c r="U85" s="10" t="s">
        <v>79</v>
      </c>
      <c r="V85" s="10" t="n">
        <v>3</v>
      </c>
      <c r="W85" s="10" t="s">
        <v>100</v>
      </c>
      <c r="X85" s="10" t="s">
        <v>81</v>
      </c>
    </row>
    <row r="86" customFormat="false" ht="23.25" hidden="false" customHeight="true" outlineLevel="0" collapsed="false">
      <c r="A86" s="10" t="s">
        <v>324</v>
      </c>
      <c r="B86" s="16" t="s">
        <v>37</v>
      </c>
      <c r="C86" s="10" t="s">
        <v>300</v>
      </c>
      <c r="D86" s="10" t="s">
        <v>88</v>
      </c>
      <c r="E86" s="10" t="s">
        <v>140</v>
      </c>
      <c r="F86" s="10" t="s">
        <v>325</v>
      </c>
      <c r="G86" s="10" t="s">
        <v>70</v>
      </c>
      <c r="H86" s="10" t="s">
        <v>103</v>
      </c>
      <c r="I86" s="10" t="n">
        <v>-1.64</v>
      </c>
      <c r="J86" s="10" t="n">
        <v>29</v>
      </c>
      <c r="K86" s="10" t="n">
        <v>0</v>
      </c>
      <c r="L86" s="10"/>
      <c r="M86" s="10" t="s">
        <v>92</v>
      </c>
      <c r="N86" s="10" t="s">
        <v>93</v>
      </c>
      <c r="O86" s="10" t="s">
        <v>142</v>
      </c>
      <c r="P86" s="10" t="s">
        <v>143</v>
      </c>
      <c r="Q86" s="12" t="s">
        <v>96</v>
      </c>
      <c r="R86" s="12" t="s">
        <v>97</v>
      </c>
      <c r="S86" s="12" t="s">
        <v>302</v>
      </c>
      <c r="T86" s="10" t="s">
        <v>326</v>
      </c>
      <c r="U86" s="10" t="s">
        <v>79</v>
      </c>
      <c r="V86" s="10" t="n">
        <v>3</v>
      </c>
      <c r="W86" s="10" t="s">
        <v>100</v>
      </c>
      <c r="X86" s="10" t="s">
        <v>81</v>
      </c>
    </row>
    <row r="87" customFormat="false" ht="23.25" hidden="false" customHeight="true" outlineLevel="0" collapsed="false">
      <c r="A87" s="10" t="s">
        <v>327</v>
      </c>
      <c r="B87" s="16" t="s">
        <v>37</v>
      </c>
      <c r="C87" s="10" t="s">
        <v>300</v>
      </c>
      <c r="D87" s="10" t="s">
        <v>88</v>
      </c>
      <c r="E87" s="10" t="s">
        <v>172</v>
      </c>
      <c r="F87" s="10" t="s">
        <v>328</v>
      </c>
      <c r="G87" s="10" t="s">
        <v>70</v>
      </c>
      <c r="H87" s="10" t="s">
        <v>174</v>
      </c>
      <c r="I87" s="10" t="n">
        <v>-2.93</v>
      </c>
      <c r="J87" s="10" t="n">
        <v>26</v>
      </c>
      <c r="K87" s="10" t="n">
        <v>0</v>
      </c>
      <c r="L87" s="10" t="n">
        <v>0</v>
      </c>
      <c r="M87" s="10" t="s">
        <v>92</v>
      </c>
      <c r="N87" s="10" t="s">
        <v>74</v>
      </c>
      <c r="O87" s="10" t="s">
        <v>175</v>
      </c>
      <c r="P87" s="10" t="s">
        <v>176</v>
      </c>
      <c r="Q87" s="12" t="s">
        <v>96</v>
      </c>
      <c r="R87" s="12" t="s">
        <v>97</v>
      </c>
      <c r="S87" s="12" t="s">
        <v>302</v>
      </c>
      <c r="T87" s="10" t="s">
        <v>99</v>
      </c>
      <c r="U87" s="10" t="s">
        <v>79</v>
      </c>
      <c r="V87" s="10" t="n">
        <v>3</v>
      </c>
      <c r="W87" s="10" t="s">
        <v>100</v>
      </c>
      <c r="X87" s="10" t="s">
        <v>81</v>
      </c>
    </row>
    <row r="88" customFormat="false" ht="23.25" hidden="false" customHeight="true" outlineLevel="0" collapsed="false">
      <c r="A88" s="10" t="s">
        <v>329</v>
      </c>
      <c r="B88" s="16" t="s">
        <v>37</v>
      </c>
      <c r="C88" s="10" t="s">
        <v>300</v>
      </c>
      <c r="D88" s="10" t="s">
        <v>88</v>
      </c>
      <c r="E88" s="10" t="s">
        <v>172</v>
      </c>
      <c r="F88" s="10" t="s">
        <v>330</v>
      </c>
      <c r="G88" s="10" t="s">
        <v>70</v>
      </c>
      <c r="H88" s="10" t="s">
        <v>71</v>
      </c>
      <c r="I88" s="10" t="n">
        <v>-4</v>
      </c>
      <c r="J88" s="10" t="n">
        <v>18</v>
      </c>
      <c r="K88" s="10" t="n">
        <v>0</v>
      </c>
      <c r="L88" s="10" t="n">
        <v>0.13</v>
      </c>
      <c r="M88" s="10" t="s">
        <v>92</v>
      </c>
      <c r="N88" s="10" t="s">
        <v>74</v>
      </c>
      <c r="O88" s="10" t="s">
        <v>175</v>
      </c>
      <c r="P88" s="10" t="s">
        <v>176</v>
      </c>
      <c r="Q88" s="12" t="s">
        <v>96</v>
      </c>
      <c r="R88" s="12" t="s">
        <v>97</v>
      </c>
      <c r="S88" s="12" t="s">
        <v>302</v>
      </c>
      <c r="T88" s="10" t="s">
        <v>99</v>
      </c>
      <c r="U88" s="10" t="s">
        <v>79</v>
      </c>
      <c r="V88" s="10" t="n">
        <v>3</v>
      </c>
      <c r="W88" s="10" t="s">
        <v>100</v>
      </c>
      <c r="X88" s="10" t="s">
        <v>81</v>
      </c>
    </row>
    <row r="89" customFormat="false" ht="23.25" hidden="false" customHeight="true" outlineLevel="0" collapsed="false">
      <c r="A89" s="10" t="s">
        <v>331</v>
      </c>
      <c r="B89" s="16" t="s">
        <v>37</v>
      </c>
      <c r="C89" s="10" t="s">
        <v>300</v>
      </c>
      <c r="D89" s="10" t="s">
        <v>88</v>
      </c>
      <c r="E89" s="10" t="s">
        <v>172</v>
      </c>
      <c r="F89" s="10" t="s">
        <v>332</v>
      </c>
      <c r="G89" s="10" t="s">
        <v>70</v>
      </c>
      <c r="H89" s="10" t="s">
        <v>71</v>
      </c>
      <c r="I89" s="10" t="n">
        <v>-2.91</v>
      </c>
      <c r="J89" s="10" t="n">
        <v>43</v>
      </c>
      <c r="K89" s="10" t="n">
        <v>0</v>
      </c>
      <c r="L89" s="10" t="n">
        <v>0.01</v>
      </c>
      <c r="M89" s="10" t="s">
        <v>92</v>
      </c>
      <c r="N89" s="10" t="s">
        <v>74</v>
      </c>
      <c r="O89" s="10" t="s">
        <v>175</v>
      </c>
      <c r="P89" s="10" t="s">
        <v>176</v>
      </c>
      <c r="Q89" s="12" t="s">
        <v>96</v>
      </c>
      <c r="R89" s="12" t="s">
        <v>97</v>
      </c>
      <c r="S89" s="12" t="s">
        <v>302</v>
      </c>
      <c r="T89" s="10" t="s">
        <v>99</v>
      </c>
      <c r="U89" s="10" t="s">
        <v>79</v>
      </c>
      <c r="V89" s="10" t="n">
        <v>3</v>
      </c>
      <c r="W89" s="10" t="s">
        <v>100</v>
      </c>
      <c r="X89" s="10" t="s">
        <v>81</v>
      </c>
    </row>
    <row r="90" customFormat="false" ht="23.25" hidden="false" customHeight="true" outlineLevel="0" collapsed="false">
      <c r="A90" s="10" t="s">
        <v>333</v>
      </c>
      <c r="B90" s="16" t="s">
        <v>37</v>
      </c>
      <c r="C90" s="10" t="s">
        <v>300</v>
      </c>
      <c r="D90" s="10" t="s">
        <v>88</v>
      </c>
      <c r="E90" s="10" t="s">
        <v>172</v>
      </c>
      <c r="F90" s="10" t="s">
        <v>334</v>
      </c>
      <c r="G90" s="10" t="s">
        <v>70</v>
      </c>
      <c r="H90" s="10" t="s">
        <v>71</v>
      </c>
      <c r="I90" s="10" t="n">
        <v>-3.28</v>
      </c>
      <c r="J90" s="10" t="n">
        <v>15</v>
      </c>
      <c r="K90" s="10" t="n">
        <v>0</v>
      </c>
      <c r="L90" s="10" t="n">
        <v>0</v>
      </c>
      <c r="M90" s="10" t="s">
        <v>92</v>
      </c>
      <c r="N90" s="10" t="s">
        <v>74</v>
      </c>
      <c r="O90" s="10" t="s">
        <v>175</v>
      </c>
      <c r="P90" s="10" t="s">
        <v>176</v>
      </c>
      <c r="Q90" s="12" t="s">
        <v>96</v>
      </c>
      <c r="R90" s="12" t="s">
        <v>97</v>
      </c>
      <c r="S90" s="12" t="s">
        <v>302</v>
      </c>
      <c r="T90" s="10" t="s">
        <v>149</v>
      </c>
      <c r="U90" s="10" t="s">
        <v>79</v>
      </c>
      <c r="V90" s="10" t="n">
        <v>3</v>
      </c>
      <c r="W90" s="10" t="s">
        <v>100</v>
      </c>
      <c r="X90" s="10" t="s">
        <v>81</v>
      </c>
    </row>
    <row r="91" customFormat="false" ht="23.25" hidden="false" customHeight="true" outlineLevel="0" collapsed="false">
      <c r="A91" s="10" t="s">
        <v>335</v>
      </c>
      <c r="B91" s="16" t="s">
        <v>37</v>
      </c>
      <c r="C91" s="10" t="s">
        <v>300</v>
      </c>
      <c r="D91" s="10" t="s">
        <v>88</v>
      </c>
      <c r="E91" s="10" t="s">
        <v>172</v>
      </c>
      <c r="F91" s="10" t="s">
        <v>336</v>
      </c>
      <c r="G91" s="10" t="s">
        <v>70</v>
      </c>
      <c r="H91" s="10" t="s">
        <v>71</v>
      </c>
      <c r="I91" s="10" t="n">
        <v>-3.3</v>
      </c>
      <c r="J91" s="10" t="n">
        <v>30</v>
      </c>
      <c r="K91" s="10" t="n">
        <v>0</v>
      </c>
      <c r="L91" s="10" t="n">
        <v>0</v>
      </c>
      <c r="M91" s="10" t="s">
        <v>92</v>
      </c>
      <c r="N91" s="10" t="s">
        <v>74</v>
      </c>
      <c r="O91" s="10" t="s">
        <v>175</v>
      </c>
      <c r="P91" s="10" t="s">
        <v>176</v>
      </c>
      <c r="Q91" s="12" t="s">
        <v>96</v>
      </c>
      <c r="R91" s="12" t="s">
        <v>97</v>
      </c>
      <c r="S91" s="12" t="s">
        <v>302</v>
      </c>
      <c r="T91" s="10" t="s">
        <v>337</v>
      </c>
      <c r="U91" s="10" t="s">
        <v>79</v>
      </c>
      <c r="V91" s="10" t="n">
        <v>3</v>
      </c>
      <c r="W91" s="10" t="s">
        <v>100</v>
      </c>
      <c r="X91" s="10" t="s">
        <v>81</v>
      </c>
    </row>
    <row r="92" customFormat="false" ht="23.25" hidden="false" customHeight="true" outlineLevel="0" collapsed="false">
      <c r="A92" s="10" t="s">
        <v>338</v>
      </c>
      <c r="B92" s="16" t="s">
        <v>37</v>
      </c>
      <c r="C92" s="10" t="s">
        <v>300</v>
      </c>
      <c r="D92" s="10" t="s">
        <v>88</v>
      </c>
      <c r="E92" s="10" t="s">
        <v>172</v>
      </c>
      <c r="F92" s="10" t="s">
        <v>339</v>
      </c>
      <c r="G92" s="10" t="s">
        <v>70</v>
      </c>
      <c r="H92" s="10" t="s">
        <v>71</v>
      </c>
      <c r="I92" s="10" t="n">
        <v>-5.1</v>
      </c>
      <c r="J92" s="10" t="n">
        <v>31</v>
      </c>
      <c r="K92" s="10" t="n">
        <v>0</v>
      </c>
      <c r="L92" s="10" t="n">
        <v>0.23</v>
      </c>
      <c r="M92" s="10" t="s">
        <v>92</v>
      </c>
      <c r="N92" s="10" t="s">
        <v>74</v>
      </c>
      <c r="O92" s="10" t="s">
        <v>175</v>
      </c>
      <c r="P92" s="10" t="s">
        <v>176</v>
      </c>
      <c r="Q92" s="12" t="s">
        <v>96</v>
      </c>
      <c r="R92" s="12" t="s">
        <v>97</v>
      </c>
      <c r="S92" s="12" t="s">
        <v>302</v>
      </c>
      <c r="T92" s="10" t="s">
        <v>149</v>
      </c>
      <c r="U92" s="10" t="s">
        <v>79</v>
      </c>
      <c r="V92" s="10" t="n">
        <v>3</v>
      </c>
      <c r="W92" s="10" t="s">
        <v>100</v>
      </c>
      <c r="X92" s="10" t="s">
        <v>81</v>
      </c>
    </row>
    <row r="93" customFormat="false" ht="23.25" hidden="false" customHeight="true" outlineLevel="0" collapsed="false">
      <c r="A93" s="10" t="s">
        <v>340</v>
      </c>
      <c r="B93" s="16" t="s">
        <v>37</v>
      </c>
      <c r="C93" s="10" t="s">
        <v>300</v>
      </c>
      <c r="D93" s="10" t="s">
        <v>88</v>
      </c>
      <c r="E93" s="10" t="s">
        <v>172</v>
      </c>
      <c r="F93" s="10" t="s">
        <v>341</v>
      </c>
      <c r="G93" s="10" t="s">
        <v>70</v>
      </c>
      <c r="H93" s="10" t="s">
        <v>174</v>
      </c>
      <c r="I93" s="10" t="n">
        <v>-4.85</v>
      </c>
      <c r="J93" s="10" t="n">
        <v>22</v>
      </c>
      <c r="K93" s="10" t="n">
        <v>0</v>
      </c>
      <c r="L93" s="10" t="n">
        <v>0.02</v>
      </c>
      <c r="M93" s="10" t="s">
        <v>92</v>
      </c>
      <c r="N93" s="10" t="s">
        <v>74</v>
      </c>
      <c r="O93" s="10" t="s">
        <v>175</v>
      </c>
      <c r="P93" s="10" t="s">
        <v>176</v>
      </c>
      <c r="Q93" s="12" t="s">
        <v>96</v>
      </c>
      <c r="R93" s="12" t="s">
        <v>97</v>
      </c>
      <c r="S93" s="12" t="s">
        <v>302</v>
      </c>
      <c r="T93" s="10" t="s">
        <v>342</v>
      </c>
      <c r="U93" s="10" t="s">
        <v>79</v>
      </c>
      <c r="V93" s="10" t="n">
        <v>3</v>
      </c>
      <c r="W93" s="10" t="s">
        <v>100</v>
      </c>
      <c r="X93" s="10" t="s">
        <v>81</v>
      </c>
    </row>
    <row r="94" customFormat="false" ht="23.25" hidden="false" customHeight="true" outlineLevel="0" collapsed="false">
      <c r="A94" s="10" t="s">
        <v>343</v>
      </c>
      <c r="B94" s="16" t="s">
        <v>37</v>
      </c>
      <c r="C94" s="10" t="s">
        <v>300</v>
      </c>
      <c r="D94" s="10" t="s">
        <v>88</v>
      </c>
      <c r="E94" s="10" t="s">
        <v>172</v>
      </c>
      <c r="F94" s="10" t="s">
        <v>344</v>
      </c>
      <c r="G94" s="10" t="s">
        <v>70</v>
      </c>
      <c r="H94" s="10" t="s">
        <v>71</v>
      </c>
      <c r="I94" s="10" t="n">
        <v>-4</v>
      </c>
      <c r="J94" s="10" t="n">
        <v>22</v>
      </c>
      <c r="K94" s="10" t="n">
        <v>0</v>
      </c>
      <c r="L94" s="10" t="n">
        <v>0.01</v>
      </c>
      <c r="M94" s="10" t="s">
        <v>92</v>
      </c>
      <c r="N94" s="10" t="s">
        <v>74</v>
      </c>
      <c r="O94" s="10" t="s">
        <v>175</v>
      </c>
      <c r="P94" s="10" t="s">
        <v>176</v>
      </c>
      <c r="Q94" s="12" t="s">
        <v>96</v>
      </c>
      <c r="R94" s="12" t="s">
        <v>97</v>
      </c>
      <c r="S94" s="12" t="s">
        <v>302</v>
      </c>
      <c r="T94" s="10" t="s">
        <v>345</v>
      </c>
      <c r="U94" s="10" t="s">
        <v>79</v>
      </c>
      <c r="V94" s="10" t="n">
        <v>3</v>
      </c>
      <c r="W94" s="10" t="s">
        <v>100</v>
      </c>
      <c r="X94" s="10" t="s">
        <v>81</v>
      </c>
    </row>
    <row r="95" customFormat="false" ht="23.25" hidden="false" customHeight="true" outlineLevel="0" collapsed="false">
      <c r="A95" s="10" t="s">
        <v>346</v>
      </c>
      <c r="B95" s="16" t="s">
        <v>37</v>
      </c>
      <c r="C95" s="10" t="s">
        <v>300</v>
      </c>
      <c r="D95" s="10" t="s">
        <v>88</v>
      </c>
      <c r="E95" s="10" t="s">
        <v>172</v>
      </c>
      <c r="F95" s="10" t="s">
        <v>347</v>
      </c>
      <c r="G95" s="10" t="s">
        <v>70</v>
      </c>
      <c r="H95" s="10" t="s">
        <v>71</v>
      </c>
      <c r="I95" s="10" t="n">
        <v>-5.46</v>
      </c>
      <c r="J95" s="10" t="n">
        <v>31</v>
      </c>
      <c r="K95" s="10" t="n">
        <v>0</v>
      </c>
      <c r="L95" s="10" t="n">
        <v>0</v>
      </c>
      <c r="M95" s="10" t="s">
        <v>92</v>
      </c>
      <c r="N95" s="10" t="s">
        <v>74</v>
      </c>
      <c r="O95" s="10" t="s">
        <v>175</v>
      </c>
      <c r="P95" s="10" t="s">
        <v>176</v>
      </c>
      <c r="Q95" s="12" t="s">
        <v>96</v>
      </c>
      <c r="R95" s="12" t="s">
        <v>97</v>
      </c>
      <c r="S95" s="12" t="s">
        <v>302</v>
      </c>
      <c r="T95" s="10" t="s">
        <v>99</v>
      </c>
      <c r="U95" s="10" t="s">
        <v>79</v>
      </c>
      <c r="V95" s="10" t="n">
        <v>3</v>
      </c>
      <c r="W95" s="10" t="s">
        <v>100</v>
      </c>
      <c r="X95" s="10" t="s">
        <v>81</v>
      </c>
    </row>
    <row r="96" customFormat="false" ht="23.25" hidden="false" customHeight="true" outlineLevel="0" collapsed="false">
      <c r="A96" s="10" t="s">
        <v>348</v>
      </c>
      <c r="B96" s="16" t="s">
        <v>37</v>
      </c>
      <c r="C96" s="10" t="s">
        <v>300</v>
      </c>
      <c r="D96" s="10" t="s">
        <v>88</v>
      </c>
      <c r="E96" s="10" t="s">
        <v>172</v>
      </c>
      <c r="F96" s="10" t="s">
        <v>349</v>
      </c>
      <c r="G96" s="10" t="s">
        <v>70</v>
      </c>
      <c r="H96" s="10" t="s">
        <v>71</v>
      </c>
      <c r="I96" s="10" t="n">
        <v>-4.4</v>
      </c>
      <c r="J96" s="10" t="n">
        <v>2</v>
      </c>
      <c r="K96" s="10" t="n">
        <v>0</v>
      </c>
      <c r="L96" s="10" t="n">
        <v>0.47</v>
      </c>
      <c r="M96" s="10" t="s">
        <v>92</v>
      </c>
      <c r="N96" s="10" t="s">
        <v>74</v>
      </c>
      <c r="O96" s="10" t="s">
        <v>175</v>
      </c>
      <c r="P96" s="10" t="s">
        <v>176</v>
      </c>
      <c r="Q96" s="12" t="s">
        <v>96</v>
      </c>
      <c r="R96" s="12" t="s">
        <v>97</v>
      </c>
      <c r="S96" s="12" t="s">
        <v>302</v>
      </c>
      <c r="T96" s="10" t="s">
        <v>350</v>
      </c>
      <c r="U96" s="10" t="s">
        <v>79</v>
      </c>
      <c r="V96" s="10" t="n">
        <v>3</v>
      </c>
      <c r="W96" s="10" t="s">
        <v>100</v>
      </c>
      <c r="X96" s="10" t="s">
        <v>81</v>
      </c>
    </row>
    <row r="97" customFormat="false" ht="23.25" hidden="false" customHeight="true" outlineLevel="0" collapsed="false">
      <c r="A97" s="10" t="s">
        <v>351</v>
      </c>
      <c r="B97" s="16" t="s">
        <v>37</v>
      </c>
      <c r="C97" s="10" t="s">
        <v>300</v>
      </c>
      <c r="D97" s="10" t="s">
        <v>88</v>
      </c>
      <c r="E97" s="10" t="s">
        <v>172</v>
      </c>
      <c r="F97" s="10" t="s">
        <v>352</v>
      </c>
      <c r="G97" s="10" t="s">
        <v>70</v>
      </c>
      <c r="H97" s="10" t="s">
        <v>71</v>
      </c>
      <c r="I97" s="10" t="n">
        <v>-3.1</v>
      </c>
      <c r="J97" s="10" t="n">
        <v>15</v>
      </c>
      <c r="K97" s="10" t="n">
        <v>0</v>
      </c>
      <c r="L97" s="10" t="n">
        <v>0.06</v>
      </c>
      <c r="M97" s="10" t="s">
        <v>92</v>
      </c>
      <c r="N97" s="10" t="s">
        <v>74</v>
      </c>
      <c r="O97" s="10" t="s">
        <v>175</v>
      </c>
      <c r="P97" s="10" t="s">
        <v>176</v>
      </c>
      <c r="Q97" s="12" t="s">
        <v>96</v>
      </c>
      <c r="R97" s="12" t="s">
        <v>97</v>
      </c>
      <c r="S97" s="12" t="s">
        <v>302</v>
      </c>
      <c r="T97" s="10" t="s">
        <v>342</v>
      </c>
      <c r="U97" s="10" t="s">
        <v>79</v>
      </c>
      <c r="V97" s="10" t="n">
        <v>3</v>
      </c>
      <c r="W97" s="10" t="s">
        <v>100</v>
      </c>
      <c r="X97" s="10" t="s">
        <v>81</v>
      </c>
    </row>
    <row r="98" customFormat="false" ht="23.25" hidden="false" customHeight="true" outlineLevel="0" collapsed="false">
      <c r="A98" s="10" t="s">
        <v>353</v>
      </c>
      <c r="B98" s="16" t="s">
        <v>37</v>
      </c>
      <c r="C98" s="10" t="s">
        <v>300</v>
      </c>
      <c r="D98" s="10" t="s">
        <v>88</v>
      </c>
      <c r="E98" s="10" t="s">
        <v>172</v>
      </c>
      <c r="F98" s="10" t="s">
        <v>354</v>
      </c>
      <c r="G98" s="10" t="s">
        <v>70</v>
      </c>
      <c r="H98" s="10" t="s">
        <v>71</v>
      </c>
      <c r="I98" s="10" t="n">
        <v>-4.48</v>
      </c>
      <c r="J98" s="10" t="n">
        <v>6</v>
      </c>
      <c r="K98" s="10" t="n">
        <v>0</v>
      </c>
      <c r="L98" s="10" t="n">
        <v>0</v>
      </c>
      <c r="M98" s="10" t="s">
        <v>92</v>
      </c>
      <c r="N98" s="10" t="s">
        <v>74</v>
      </c>
      <c r="O98" s="10" t="s">
        <v>175</v>
      </c>
      <c r="P98" s="10" t="s">
        <v>176</v>
      </c>
      <c r="Q98" s="12" t="s">
        <v>96</v>
      </c>
      <c r="R98" s="12" t="s">
        <v>97</v>
      </c>
      <c r="S98" s="12" t="s">
        <v>302</v>
      </c>
      <c r="T98" s="10" t="s">
        <v>355</v>
      </c>
      <c r="U98" s="10" t="s">
        <v>79</v>
      </c>
      <c r="V98" s="10" t="n">
        <v>3</v>
      </c>
      <c r="W98" s="10" t="s">
        <v>100</v>
      </c>
      <c r="X98" s="10" t="s">
        <v>81</v>
      </c>
    </row>
    <row r="99" customFormat="false" ht="23.25" hidden="false" customHeight="true" outlineLevel="0" collapsed="false">
      <c r="A99" s="10" t="s">
        <v>356</v>
      </c>
      <c r="B99" s="16" t="s">
        <v>37</v>
      </c>
      <c r="C99" s="10" t="s">
        <v>300</v>
      </c>
      <c r="D99" s="10" t="s">
        <v>88</v>
      </c>
      <c r="E99" s="10" t="s">
        <v>172</v>
      </c>
      <c r="F99" s="10" t="s">
        <v>357</v>
      </c>
      <c r="G99" s="10" t="s">
        <v>70</v>
      </c>
      <c r="H99" s="10" t="s">
        <v>71</v>
      </c>
      <c r="I99" s="10" t="n">
        <v>-5.53</v>
      </c>
      <c r="J99" s="10" t="n">
        <v>25</v>
      </c>
      <c r="K99" s="10" t="n">
        <v>0</v>
      </c>
      <c r="L99" s="10" t="n">
        <v>0.55</v>
      </c>
      <c r="M99" s="10" t="s">
        <v>92</v>
      </c>
      <c r="N99" s="10" t="s">
        <v>74</v>
      </c>
      <c r="O99" s="10" t="s">
        <v>175</v>
      </c>
      <c r="P99" s="10" t="s">
        <v>176</v>
      </c>
      <c r="Q99" s="12" t="s">
        <v>96</v>
      </c>
      <c r="R99" s="12" t="s">
        <v>97</v>
      </c>
      <c r="S99" s="12" t="s">
        <v>302</v>
      </c>
      <c r="T99" s="10" t="s">
        <v>99</v>
      </c>
      <c r="U99" s="10" t="s">
        <v>79</v>
      </c>
      <c r="V99" s="10" t="n">
        <v>3</v>
      </c>
      <c r="W99" s="10" t="s">
        <v>100</v>
      </c>
      <c r="X99" s="10" t="s">
        <v>81</v>
      </c>
    </row>
    <row r="100" customFormat="false" ht="23.25" hidden="false" customHeight="true" outlineLevel="0" collapsed="false">
      <c r="A100" s="10" t="s">
        <v>358</v>
      </c>
      <c r="B100" s="16" t="s">
        <v>37</v>
      </c>
      <c r="C100" s="10" t="s">
        <v>300</v>
      </c>
      <c r="D100" s="10" t="s">
        <v>88</v>
      </c>
      <c r="E100" s="10" t="s">
        <v>172</v>
      </c>
      <c r="F100" s="10" t="s">
        <v>359</v>
      </c>
      <c r="G100" s="10" t="s">
        <v>70</v>
      </c>
      <c r="H100" s="10" t="s">
        <v>174</v>
      </c>
      <c r="I100" s="10" t="n">
        <v>-3.51</v>
      </c>
      <c r="J100" s="10" t="n">
        <v>21</v>
      </c>
      <c r="K100" s="10" t="n">
        <v>0</v>
      </c>
      <c r="L100" s="10" t="n">
        <v>0</v>
      </c>
      <c r="M100" s="10" t="s">
        <v>92</v>
      </c>
      <c r="N100" s="10" t="s">
        <v>74</v>
      </c>
      <c r="O100" s="10" t="s">
        <v>175</v>
      </c>
      <c r="P100" s="10" t="s">
        <v>176</v>
      </c>
      <c r="Q100" s="12" t="s">
        <v>96</v>
      </c>
      <c r="R100" s="12" t="s">
        <v>97</v>
      </c>
      <c r="S100" s="12" t="s">
        <v>302</v>
      </c>
      <c r="T100" s="10" t="s">
        <v>360</v>
      </c>
      <c r="U100" s="10" t="s">
        <v>79</v>
      </c>
      <c r="V100" s="10" t="n">
        <v>3</v>
      </c>
      <c r="W100" s="10" t="s">
        <v>100</v>
      </c>
      <c r="X100" s="10" t="s">
        <v>81</v>
      </c>
    </row>
  </sheetData>
  <autoFilter ref="A1:X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6" min="4" style="1" width="36"/>
    <col collapsed="false" customWidth="true" hidden="false" outlineLevel="0" max="7" min="7" style="1" width="14"/>
    <col collapsed="false" customWidth="true" hidden="false" outlineLevel="0" max="8" min="8" style="1" width="80"/>
    <col collapsed="false" customWidth="true" hidden="false" outlineLevel="0" max="9" min="9" style="0" width="44"/>
  </cols>
  <sheetData>
    <row r="1" customFormat="false" ht="45.75" hidden="false" customHeight="true" outlineLevel="0" collapsed="false">
      <c r="A1" s="9" t="s">
        <v>45</v>
      </c>
      <c r="B1" s="9" t="s">
        <v>47</v>
      </c>
      <c r="C1" s="9" t="s">
        <v>361</v>
      </c>
      <c r="D1" s="9" t="s">
        <v>362</v>
      </c>
      <c r="E1" s="9" t="s">
        <v>363</v>
      </c>
      <c r="F1" s="9" t="s">
        <v>364</v>
      </c>
      <c r="G1" s="9" t="s">
        <v>365</v>
      </c>
      <c r="H1" s="9" t="s">
        <v>366</v>
      </c>
      <c r="I1" s="9" t="s">
        <v>367</v>
      </c>
    </row>
    <row r="2" customFormat="false" ht="23.25" hidden="false" customHeight="true" outlineLevel="0" collapsed="false">
      <c r="A2" s="12" t="s">
        <v>68</v>
      </c>
      <c r="B2" s="12" t="s">
        <v>70</v>
      </c>
      <c r="C2" s="12" t="n">
        <f aca="false">COUNTIFS(Bots!E:E,A2,Bots!B:B,"&lt;&gt;PARKED")</f>
        <v>17</v>
      </c>
      <c r="D2" s="12" t="s">
        <v>73</v>
      </c>
      <c r="E2" s="12" t="s">
        <v>74</v>
      </c>
      <c r="F2" s="12" t="s">
        <v>71</v>
      </c>
      <c r="G2" s="12" t="n">
        <f aca="false">SUMIFS(Bots!J:J,Bots!E:E,A2)</f>
        <v>409</v>
      </c>
      <c r="H2" s="12" t="s">
        <v>368</v>
      </c>
      <c r="I2" s="12"/>
    </row>
    <row r="3" customFormat="false" ht="15" hidden="false" customHeight="true" outlineLevel="0" collapsed="false">
      <c r="A3" s="12" t="s">
        <v>223</v>
      </c>
      <c r="B3" s="12" t="s">
        <v>182</v>
      </c>
      <c r="C3" s="12" t="n">
        <f aca="false">COUNTIFS(Bots!E:E,A3,Bots!B:B,"&lt;&gt;PARKED")</f>
        <v>11</v>
      </c>
      <c r="D3" s="12" t="s">
        <v>226</v>
      </c>
      <c r="E3" s="12" t="s">
        <v>227</v>
      </c>
      <c r="F3" s="12" t="s">
        <v>225</v>
      </c>
      <c r="G3" s="12" t="n">
        <f aca="false">SUMIFS(Bots!J:J,Bots!E:E,A3)</f>
        <v>50</v>
      </c>
      <c r="H3" s="12" t="s">
        <v>369</v>
      </c>
      <c r="I3" s="12"/>
    </row>
    <row r="4" customFormat="false" ht="15" hidden="false" customHeight="true" outlineLevel="0" collapsed="false">
      <c r="A4" s="12" t="s">
        <v>180</v>
      </c>
      <c r="B4" s="12" t="s">
        <v>182</v>
      </c>
      <c r="C4" s="12" t="n">
        <f aca="false">COUNTIFS(Bots!E:E,A4,Bots!B:B,"&lt;&gt;PARKED")</f>
        <v>16</v>
      </c>
      <c r="D4" s="12" t="s">
        <v>184</v>
      </c>
      <c r="E4" s="12" t="s">
        <v>185</v>
      </c>
      <c r="F4" s="12" t="s">
        <v>186</v>
      </c>
      <c r="G4" s="12" t="n">
        <f aca="false">SUMIFS(Bots!J:J,Bots!E:E,A4)</f>
        <v>55</v>
      </c>
      <c r="H4" s="12" t="s">
        <v>370</v>
      </c>
      <c r="I4" s="12"/>
    </row>
    <row r="5" customFormat="false" ht="15" hidden="false" customHeight="true" outlineLevel="0" collapsed="false">
      <c r="A5" s="12" t="s">
        <v>89</v>
      </c>
      <c r="B5" s="12" t="s">
        <v>70</v>
      </c>
      <c r="C5" s="12" t="n">
        <f aca="false">COUNTIFS(Bots!E:E,A5,Bots!B:B,"&lt;&gt;PARKED")</f>
        <v>3</v>
      </c>
      <c r="D5" s="12" t="s">
        <v>93</v>
      </c>
      <c r="E5" s="12" t="s">
        <v>94</v>
      </c>
      <c r="F5" s="12" t="s">
        <v>95</v>
      </c>
      <c r="G5" s="12" t="n">
        <f aca="false">SUMIFS(Bots!J:J,Bots!E:E,A5)</f>
        <v>192</v>
      </c>
      <c r="H5" s="12" t="s">
        <v>371</v>
      </c>
      <c r="I5" s="12" t="s">
        <v>372</v>
      </c>
    </row>
    <row r="6" customFormat="false" ht="15" hidden="false" customHeight="true" outlineLevel="0" collapsed="false">
      <c r="A6" s="12" t="s">
        <v>140</v>
      </c>
      <c r="B6" s="12" t="s">
        <v>70</v>
      </c>
      <c r="C6" s="12" t="n">
        <f aca="false">COUNTIFS(Bots!E:E,A6,Bots!B:B,"&lt;&gt;PARKED")</f>
        <v>11</v>
      </c>
      <c r="D6" s="12" t="s">
        <v>93</v>
      </c>
      <c r="E6" s="12" t="s">
        <v>142</v>
      </c>
      <c r="F6" s="12" t="s">
        <v>143</v>
      </c>
      <c r="G6" s="12" t="n">
        <f aca="false">SUMIFS(Bots!J:J,Bots!E:E,A6)</f>
        <v>896</v>
      </c>
      <c r="H6" s="12" t="s">
        <v>373</v>
      </c>
      <c r="I6" s="12"/>
    </row>
    <row r="7" customFormat="false" ht="15" hidden="false" customHeight="true" outlineLevel="0" collapsed="false">
      <c r="A7" s="12" t="s">
        <v>172</v>
      </c>
      <c r="B7" s="12" t="s">
        <v>70</v>
      </c>
      <c r="C7" s="12" t="n">
        <f aca="false">COUNTIFS(Bots!E:E,A7,Bots!B:B,"&lt;&gt;PARKED")</f>
        <v>1</v>
      </c>
      <c r="D7" s="12" t="s">
        <v>74</v>
      </c>
      <c r="E7" s="12" t="s">
        <v>175</v>
      </c>
      <c r="F7" s="12" t="s">
        <v>176</v>
      </c>
      <c r="G7" s="12" t="n">
        <f aca="false">SUMIFS(Bots!J:J,Bots!E:E,A7)</f>
        <v>337</v>
      </c>
      <c r="H7" s="12" t="s">
        <v>374</v>
      </c>
      <c r="I7" s="12"/>
    </row>
    <row r="8" customFormat="false" ht="23.25" hidden="false" customHeight="true" outlineLevel="0" collapsed="false">
      <c r="A8" s="12" t="s">
        <v>252</v>
      </c>
      <c r="B8" s="12" t="s">
        <v>70</v>
      </c>
      <c r="C8" s="12" t="n">
        <f aca="false">COUNTIFS(Bots!E:E,A8,Bots!B:B,"&lt;&gt;PARKED")</f>
        <v>15</v>
      </c>
      <c r="D8" s="12" t="s">
        <v>93</v>
      </c>
      <c r="E8" s="12" t="s">
        <v>94</v>
      </c>
      <c r="F8" s="12" t="s">
        <v>142</v>
      </c>
      <c r="G8" s="12" t="n">
        <f aca="false">SUMIFS(Bots!J:J,Bots!E:E,A8)</f>
        <v>381</v>
      </c>
      <c r="H8" s="12" t="s">
        <v>375</v>
      </c>
      <c r="I8" s="12"/>
    </row>
    <row r="9" customFormat="false" ht="15" hidden="false" customHeight="true" outlineLevel="0" collapsed="false">
      <c r="A9" s="8" t="s">
        <v>376</v>
      </c>
      <c r="C9" s="8" t="n">
        <f aca="false">COUNTA(D2:F8)+COUNTA(I2:I8)</f>
        <v>22</v>
      </c>
    </row>
    <row r="10" customFormat="false" ht="15" hidden="false" customHeight="true" outlineLevel="0" collapsed="false">
      <c r="A10" s="17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3" min="3" style="1" width="95"/>
    <col collapsed="false" customWidth="true" hidden="false" outlineLevel="0" max="4" min="4" style="1" width="70"/>
  </cols>
  <sheetData>
    <row r="1" customFormat="false" ht="30" hidden="false" customHeight="true" outlineLevel="0" collapsed="false">
      <c r="A1" s="9" t="s">
        <v>378</v>
      </c>
      <c r="B1" s="9" t="s">
        <v>379</v>
      </c>
      <c r="C1" s="9" t="s">
        <v>380</v>
      </c>
      <c r="D1" s="9" t="s">
        <v>381</v>
      </c>
    </row>
    <row r="2" customFormat="false" ht="23.25" hidden="false" customHeight="true" outlineLevel="0" collapsed="false">
      <c r="A2" s="10" t="n">
        <v>1</v>
      </c>
      <c r="B2" s="12" t="s">
        <v>382</v>
      </c>
      <c r="C2" s="12" t="s">
        <v>383</v>
      </c>
      <c r="D2" s="12" t="s">
        <v>384</v>
      </c>
    </row>
    <row r="3" customFormat="false" ht="15" hidden="false" customHeight="true" outlineLevel="0" collapsed="false">
      <c r="A3" s="10" t="n">
        <v>2</v>
      </c>
      <c r="B3" s="12" t="s">
        <v>385</v>
      </c>
      <c r="C3" s="12" t="s">
        <v>386</v>
      </c>
      <c r="D3" s="12" t="s">
        <v>387</v>
      </c>
    </row>
    <row r="4" customFormat="false" ht="23.25" hidden="false" customHeight="true" outlineLevel="0" collapsed="false">
      <c r="A4" s="10" t="n">
        <v>3</v>
      </c>
      <c r="B4" s="12" t="s">
        <v>388</v>
      </c>
      <c r="C4" s="12" t="s">
        <v>389</v>
      </c>
      <c r="D4" s="12" t="s">
        <v>390</v>
      </c>
    </row>
    <row r="5" customFormat="false" ht="23.25" hidden="false" customHeight="true" outlineLevel="0" collapsed="false">
      <c r="A5" s="10" t="n">
        <v>4</v>
      </c>
      <c r="B5" s="12" t="s">
        <v>391</v>
      </c>
      <c r="C5" s="12" t="s">
        <v>392</v>
      </c>
      <c r="D5" s="12" t="s">
        <v>393</v>
      </c>
    </row>
    <row r="6" customFormat="false" ht="15" hidden="false" customHeight="true" outlineLevel="0" collapsed="false">
      <c r="A6" s="10" t="n">
        <v>5</v>
      </c>
      <c r="B6" s="12" t="s">
        <v>394</v>
      </c>
      <c r="C6" s="12" t="s">
        <v>395</v>
      </c>
      <c r="D6" s="12" t="s">
        <v>396</v>
      </c>
    </row>
    <row r="7" customFormat="false" ht="15" hidden="false" customHeight="true" outlineLevel="0" collapsed="false">
      <c r="A7" s="10" t="n">
        <v>6</v>
      </c>
      <c r="B7" s="12" t="s">
        <v>397</v>
      </c>
      <c r="C7" s="12" t="s">
        <v>398</v>
      </c>
      <c r="D7" s="12" t="s">
        <v>399</v>
      </c>
    </row>
    <row r="8" customFormat="false" ht="15" hidden="false" customHeight="true" outlineLevel="0" collapsed="false">
      <c r="A8" s="10" t="n">
        <v>7</v>
      </c>
      <c r="B8" s="12" t="s">
        <v>400</v>
      </c>
      <c r="C8" s="12" t="s">
        <v>401</v>
      </c>
      <c r="D8" s="12" t="s">
        <v>402</v>
      </c>
    </row>
    <row r="9" customFormat="false" ht="15" hidden="false" customHeight="true" outlineLevel="0" collapsed="false">
      <c r="A9" s="10" t="n">
        <v>8</v>
      </c>
      <c r="B9" s="12" t="s">
        <v>403</v>
      </c>
      <c r="C9" s="12" t="s">
        <v>404</v>
      </c>
      <c r="D9" s="12" t="s">
        <v>405</v>
      </c>
    </row>
    <row r="10" customFormat="false" ht="23.25" hidden="false" customHeight="true" outlineLevel="0" collapsed="false">
      <c r="A10" s="10" t="n">
        <v>9</v>
      </c>
      <c r="B10" s="12" t="s">
        <v>406</v>
      </c>
      <c r="C10" s="12" t="s">
        <v>407</v>
      </c>
      <c r="D10" s="12" t="s">
        <v>408</v>
      </c>
    </row>
    <row r="11" customFormat="false" ht="23.85" hidden="false" customHeight="false" outlineLevel="0" collapsed="false">
      <c r="A11" s="10" t="n">
        <v>10</v>
      </c>
      <c r="B11" s="12" t="s">
        <v>409</v>
      </c>
      <c r="C11" s="12" t="s">
        <v>410</v>
      </c>
      <c r="D11" s="12" t="s">
        <v>411</v>
      </c>
    </row>
    <row r="12" customFormat="false" ht="23.85" hidden="false" customHeight="false" outlineLevel="0" collapsed="false">
      <c r="A12" s="10" t="n">
        <v>11</v>
      </c>
      <c r="B12" s="12" t="s">
        <v>412</v>
      </c>
      <c r="C12" s="12" t="s">
        <v>413</v>
      </c>
      <c r="D12" s="12" t="s">
        <v>414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8" t="s">
        <v>415</v>
      </c>
      <c r="B1" s="18" t="s">
        <v>416</v>
      </c>
      <c r="C1" s="18" t="s">
        <v>28</v>
      </c>
      <c r="D1" s="18" t="s">
        <v>417</v>
      </c>
    </row>
    <row r="2" customFormat="false" ht="15" hidden="false" customHeight="false" outlineLevel="0" collapsed="false">
      <c r="A2" s="19" t="s">
        <v>418</v>
      </c>
      <c r="B2" s="19" t="s">
        <v>419</v>
      </c>
      <c r="C2" s="19" t="s">
        <v>420</v>
      </c>
      <c r="D2" s="19"/>
    </row>
    <row r="3" customFormat="false" ht="15" hidden="false" customHeight="false" outlineLevel="0" collapsed="false">
      <c r="A3" s="19" t="s">
        <v>421</v>
      </c>
      <c r="B3" s="19" t="s">
        <v>419</v>
      </c>
      <c r="C3" s="19" t="s">
        <v>422</v>
      </c>
      <c r="D3" s="19"/>
    </row>
    <row r="4" customFormat="false" ht="15" hidden="false" customHeight="false" outlineLevel="0" collapsed="false">
      <c r="A4" s="19" t="s">
        <v>423</v>
      </c>
      <c r="B4" s="19" t="s">
        <v>419</v>
      </c>
      <c r="C4" s="19" t="s">
        <v>424</v>
      </c>
      <c r="D4" s="19"/>
    </row>
    <row r="5" customFormat="false" ht="28.35" hidden="false" customHeight="false" outlineLevel="0" collapsed="false">
      <c r="A5" s="19" t="s">
        <v>425</v>
      </c>
      <c r="B5" s="19" t="s">
        <v>419</v>
      </c>
      <c r="C5" s="19" t="s">
        <v>426</v>
      </c>
      <c r="D5" s="19"/>
    </row>
    <row r="6" customFormat="false" ht="15" hidden="false" customHeight="false" outlineLevel="0" collapsed="false">
      <c r="A6" s="19" t="s">
        <v>427</v>
      </c>
      <c r="B6" s="19" t="s">
        <v>419</v>
      </c>
      <c r="C6" s="19" t="s">
        <v>428</v>
      </c>
      <c r="D6" s="19"/>
    </row>
    <row r="7" customFormat="false" ht="15" hidden="false" customHeight="false" outlineLevel="0" collapsed="false">
      <c r="A7" s="19" t="s">
        <v>429</v>
      </c>
      <c r="B7" s="19" t="s">
        <v>430</v>
      </c>
      <c r="C7" s="19" t="s">
        <v>431</v>
      </c>
      <c r="D7" s="19" t="s">
        <v>432</v>
      </c>
    </row>
    <row r="8" customFormat="false" ht="15" hidden="false" customHeight="false" outlineLevel="0" collapsed="false">
      <c r="A8" s="19" t="s">
        <v>433</v>
      </c>
      <c r="B8" s="19" t="s">
        <v>419</v>
      </c>
      <c r="C8" s="19" t="s">
        <v>434</v>
      </c>
      <c r="D8" s="19"/>
    </row>
    <row r="9" customFormat="false" ht="15" hidden="false" customHeight="false" outlineLevel="0" collapsed="false">
      <c r="A9" s="19" t="s">
        <v>435</v>
      </c>
      <c r="B9" s="19" t="s">
        <v>436</v>
      </c>
      <c r="C9" s="19" t="s">
        <v>437</v>
      </c>
      <c r="D9" s="19" t="s">
        <v>438</v>
      </c>
    </row>
    <row r="10" customFormat="false" ht="15" hidden="false" customHeight="false" outlineLevel="0" collapsed="false">
      <c r="A10" s="19" t="s">
        <v>439</v>
      </c>
      <c r="B10" s="19" t="s">
        <v>440</v>
      </c>
      <c r="C10" s="19" t="s">
        <v>441</v>
      </c>
      <c r="D10" s="19"/>
    </row>
    <row r="11" customFormat="false" ht="15" hidden="false" customHeight="false" outlineLevel="0" collapsed="false">
      <c r="A11" s="19" t="s">
        <v>442</v>
      </c>
      <c r="B11" s="19" t="s">
        <v>443</v>
      </c>
      <c r="C11" s="19" t="s">
        <v>444</v>
      </c>
      <c r="D11" s="19"/>
    </row>
    <row r="12" customFormat="false" ht="15" hidden="false" customHeight="false" outlineLevel="0" collapsed="false">
      <c r="A12" s="19" t="s">
        <v>445</v>
      </c>
      <c r="B12" s="19" t="s">
        <v>440</v>
      </c>
      <c r="C12" s="19" t="s">
        <v>446</v>
      </c>
      <c r="D12" s="19" t="s">
        <v>447</v>
      </c>
    </row>
    <row r="13" customFormat="false" ht="15" hidden="false" customHeight="false" outlineLevel="0" collapsed="false">
      <c r="A13" s="19" t="s">
        <v>448</v>
      </c>
      <c r="B13" s="19" t="s">
        <v>449</v>
      </c>
      <c r="C13" s="19" t="s">
        <v>450</v>
      </c>
      <c r="D13" s="19" t="s">
        <v>451</v>
      </c>
    </row>
    <row r="14" customFormat="false" ht="28.35" hidden="false" customHeight="false" outlineLevel="0" collapsed="false">
      <c r="A14" s="19" t="s">
        <v>452</v>
      </c>
      <c r="B14" s="19" t="s">
        <v>443</v>
      </c>
      <c r="C14" s="19" t="s">
        <v>453</v>
      </c>
      <c r="D14" s="19" t="s">
        <v>454</v>
      </c>
    </row>
    <row r="15" customFormat="false" ht="15" hidden="false" customHeight="false" outlineLevel="0" collapsed="false">
      <c r="A15" s="19" t="s">
        <v>455</v>
      </c>
      <c r="B15" s="19" t="s">
        <v>440</v>
      </c>
      <c r="C15" s="19" t="s">
        <v>456</v>
      </c>
      <c r="D15" s="19" t="s">
        <v>457</v>
      </c>
    </row>
    <row r="16" customFormat="false" ht="15" hidden="false" customHeight="false" outlineLevel="0" collapsed="false">
      <c r="A16" s="19" t="s">
        <v>458</v>
      </c>
      <c r="B16" s="19" t="s">
        <v>459</v>
      </c>
      <c r="C16" s="19" t="s">
        <v>460</v>
      </c>
      <c r="D16" s="19" t="s">
        <v>461</v>
      </c>
    </row>
    <row r="17" customFormat="false" ht="15" hidden="false" customHeight="false" outlineLevel="0" collapsed="false">
      <c r="A17" s="19" t="s">
        <v>462</v>
      </c>
      <c r="B17" s="19" t="s">
        <v>430</v>
      </c>
      <c r="C17" s="19" t="s">
        <v>463</v>
      </c>
      <c r="D17" s="19" t="s">
        <v>464</v>
      </c>
    </row>
    <row r="18" customFormat="false" ht="15" hidden="false" customHeight="false" outlineLevel="0" collapsed="false">
      <c r="A18" s="19" t="s">
        <v>465</v>
      </c>
      <c r="B18" s="19" t="s">
        <v>419</v>
      </c>
      <c r="C18" s="19" t="s">
        <v>466</v>
      </c>
      <c r="D18" s="19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5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8" t="s">
        <v>417</v>
      </c>
      <c r="B1" s="18" t="s">
        <v>468</v>
      </c>
      <c r="C1" s="18" t="s">
        <v>380</v>
      </c>
      <c r="D1" s="18" t="s">
        <v>469</v>
      </c>
    </row>
    <row r="2" customFormat="false" ht="15" hidden="false" customHeight="false" outlineLevel="0" collapsed="false">
      <c r="A2" s="19" t="s">
        <v>470</v>
      </c>
      <c r="B2" s="19" t="s">
        <v>471</v>
      </c>
      <c r="C2" s="19" t="s">
        <v>472</v>
      </c>
      <c r="D2" s="19" t="s">
        <v>473</v>
      </c>
    </row>
    <row r="3" customFormat="false" ht="15" hidden="false" customHeight="false" outlineLevel="0" collapsed="false">
      <c r="A3" s="19" t="s">
        <v>474</v>
      </c>
      <c r="B3" s="19" t="s">
        <v>475</v>
      </c>
      <c r="C3" s="19" t="s">
        <v>476</v>
      </c>
      <c r="D3" s="19" t="s">
        <v>473</v>
      </c>
    </row>
    <row r="4" customFormat="false" ht="15" hidden="false" customHeight="false" outlineLevel="0" collapsed="false">
      <c r="A4" s="19" t="s">
        <v>477</v>
      </c>
      <c r="B4" s="19" t="s">
        <v>478</v>
      </c>
      <c r="C4" s="19" t="s">
        <v>479</v>
      </c>
      <c r="D4" s="19" t="s">
        <v>480</v>
      </c>
    </row>
    <row r="5" customFormat="false" ht="15" hidden="false" customHeight="false" outlineLevel="0" collapsed="false">
      <c r="A5" s="19" t="s">
        <v>481</v>
      </c>
      <c r="B5" s="19" t="s">
        <v>482</v>
      </c>
      <c r="C5" s="19" t="s">
        <v>483</v>
      </c>
      <c r="D5" s="19" t="s">
        <v>473</v>
      </c>
    </row>
    <row r="6" customFormat="false" ht="15" hidden="false" customHeight="false" outlineLevel="0" collapsed="false">
      <c r="A6" s="19" t="s">
        <v>484</v>
      </c>
      <c r="B6" s="19" t="s">
        <v>485</v>
      </c>
      <c r="C6" s="19" t="s">
        <v>486</v>
      </c>
      <c r="D6" s="19" t="s">
        <v>473</v>
      </c>
    </row>
    <row r="7" customFormat="false" ht="15" hidden="false" customHeight="false" outlineLevel="0" collapsed="false">
      <c r="A7" s="19" t="s">
        <v>487</v>
      </c>
      <c r="B7" s="19" t="s">
        <v>488</v>
      </c>
      <c r="C7" s="19" t="s">
        <v>489</v>
      </c>
      <c r="D7" s="19" t="s">
        <v>473</v>
      </c>
    </row>
    <row r="8" customFormat="false" ht="15" hidden="false" customHeight="false" outlineLevel="0" collapsed="false">
      <c r="A8" s="19" t="s">
        <v>490</v>
      </c>
      <c r="B8" s="19" t="s">
        <v>491</v>
      </c>
      <c r="C8" s="19" t="s">
        <v>492</v>
      </c>
      <c r="D8" s="19" t="s">
        <v>473</v>
      </c>
    </row>
    <row r="9" customFormat="false" ht="15" hidden="false" customHeight="false" outlineLevel="0" collapsed="false">
      <c r="A9" s="19" t="s">
        <v>493</v>
      </c>
      <c r="B9" s="19" t="s">
        <v>494</v>
      </c>
      <c r="C9" s="19" t="s">
        <v>495</v>
      </c>
      <c r="D9" s="19" t="s">
        <v>473</v>
      </c>
    </row>
    <row r="10" customFormat="false" ht="15" hidden="false" customHeight="false" outlineLevel="0" collapsed="false">
      <c r="A10" s="19" t="s">
        <v>496</v>
      </c>
      <c r="B10" s="19" t="s">
        <v>497</v>
      </c>
      <c r="C10" s="19" t="s">
        <v>498</v>
      </c>
      <c r="D10" s="19" t="s">
        <v>473</v>
      </c>
    </row>
    <row r="11" customFormat="false" ht="15" hidden="false" customHeight="false" outlineLevel="0" collapsed="false">
      <c r="A11" s="19" t="s">
        <v>499</v>
      </c>
      <c r="B11" s="19" t="s">
        <v>500</v>
      </c>
      <c r="C11" s="19" t="s">
        <v>501</v>
      </c>
      <c r="D11" s="19" t="s">
        <v>502</v>
      </c>
    </row>
    <row r="12" customFormat="false" ht="15" hidden="false" customHeight="false" outlineLevel="0" collapsed="false">
      <c r="A12" s="19" t="s">
        <v>503</v>
      </c>
      <c r="B12" s="19" t="s">
        <v>504</v>
      </c>
      <c r="C12" s="19" t="s">
        <v>501</v>
      </c>
      <c r="D12" s="19" t="s">
        <v>473</v>
      </c>
    </row>
    <row r="13" customFormat="false" ht="15" hidden="false" customHeight="false" outlineLevel="0" collapsed="false">
      <c r="A13" s="19" t="s">
        <v>505</v>
      </c>
      <c r="B13" s="19" t="s">
        <v>506</v>
      </c>
      <c r="C13" s="19" t="s">
        <v>476</v>
      </c>
      <c r="D13" s="19" t="s">
        <v>473</v>
      </c>
    </row>
    <row r="14" customFormat="false" ht="15" hidden="false" customHeight="false" outlineLevel="0" collapsed="false">
      <c r="A14" s="19" t="s">
        <v>507</v>
      </c>
      <c r="B14" s="19" t="s">
        <v>508</v>
      </c>
      <c r="C14" s="19" t="s">
        <v>509</v>
      </c>
      <c r="D14" s="19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2026-10-14T23:42:40Z</dcterms:created>
  <dc:creator>openpyxl</dc:creator>
  <dc:description/>
  <dc:language>en-US</dc:language>
  <cp:lastModifiedBy/>
  <dcterms:modified xsi:type="dcterms:W3CDTF">2026-10-15T01:09:55Z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